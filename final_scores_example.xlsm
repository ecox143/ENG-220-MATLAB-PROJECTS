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/>
  <workbookPr/>
  <mc:AlternateContent xmlns:mc="http://schemas.openxmlformats.org/markup-compatibility/2006">
    <mc:Choice Requires="x15">
      <x15ac:absPath xmlns:x15ac="http://schemas.microsoft.com/office/spreadsheetml/2010/11/ac" url="/Users/rjordan17/Desktop/ECE439_MATLAB/WEEK1/arrays/"/>
    </mc:Choice>
  </mc:AlternateContent>
  <xr:revisionPtr revIDLastSave="0" documentId="13_ncr:1_{0DDC67EC-A2FE-5749-9125-32BB79169DA5}" xr6:coauthVersionLast="45" xr6:coauthVersionMax="45" xr10:uidLastSave="{00000000-0000-0000-0000-000000000000}"/>
  <bookViews>
    <workbookView xWindow="11960" yWindow="2400" windowWidth="32840" windowHeight="25540" tabRatio="500" xr2:uid="{00000000-000D-0000-FFFF-FFFF00000000}"/>
  </bookViews>
  <sheets>
    <sheet name="class-scores" sheetId="1" r:id="rId1"/>
    <sheet name="Sheet2" sheetId="3" r:id="rId2"/>
    <sheet name="Sheet3" sheetId="4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1" i="1" l="1"/>
  <c r="J131" i="1"/>
  <c r="L131" i="1"/>
  <c r="K131" i="1"/>
  <c r="J113" i="1"/>
  <c r="L113" i="1"/>
  <c r="K113" i="1"/>
  <c r="H54" i="1"/>
  <c r="J54" i="1"/>
  <c r="L54" i="1"/>
  <c r="K54" i="1"/>
  <c r="H48" i="1"/>
  <c r="J48" i="1"/>
  <c r="L48" i="1"/>
  <c r="K48" i="1"/>
  <c r="H23" i="1"/>
  <c r="J23" i="1"/>
  <c r="L23" i="1"/>
  <c r="H42" i="1"/>
  <c r="J42" i="1"/>
  <c r="L42" i="1"/>
  <c r="K42" i="1"/>
  <c r="H6" i="1"/>
  <c r="J6" i="1"/>
  <c r="L6" i="1"/>
  <c r="H7" i="1"/>
  <c r="J7" i="1"/>
  <c r="L7" i="1"/>
  <c r="H12" i="1"/>
  <c r="J12" i="1"/>
  <c r="L12" i="1"/>
  <c r="H29" i="1"/>
  <c r="J29" i="1"/>
  <c r="L29" i="1"/>
  <c r="H46" i="1"/>
  <c r="J46" i="1"/>
  <c r="L46" i="1"/>
  <c r="H51" i="1"/>
  <c r="J51" i="1"/>
  <c r="L51" i="1"/>
  <c r="H56" i="1"/>
  <c r="J56" i="1"/>
  <c r="L56" i="1"/>
  <c r="H60" i="1"/>
  <c r="J60" i="1"/>
  <c r="L60" i="1"/>
  <c r="H64" i="1"/>
  <c r="J64" i="1"/>
  <c r="L64" i="1"/>
  <c r="H68" i="1"/>
  <c r="J68" i="1"/>
  <c r="L68" i="1"/>
  <c r="H72" i="1"/>
  <c r="J72" i="1"/>
  <c r="L72" i="1"/>
  <c r="H76" i="1"/>
  <c r="J76" i="1"/>
  <c r="L76" i="1"/>
  <c r="H80" i="1"/>
  <c r="J80" i="1"/>
  <c r="L80" i="1"/>
  <c r="H84" i="1"/>
  <c r="J84" i="1"/>
  <c r="L84" i="1"/>
  <c r="H88" i="1"/>
  <c r="J88" i="1"/>
  <c r="L88" i="1"/>
  <c r="H92" i="1"/>
  <c r="J92" i="1"/>
  <c r="L92" i="1"/>
  <c r="H95" i="1"/>
  <c r="J95" i="1"/>
  <c r="L95" i="1"/>
  <c r="H96" i="1"/>
  <c r="J96" i="1"/>
  <c r="L96" i="1"/>
  <c r="H100" i="1"/>
  <c r="J100" i="1"/>
  <c r="L100" i="1"/>
  <c r="H103" i="1"/>
  <c r="J103" i="1"/>
  <c r="K103" i="1"/>
  <c r="H104" i="1"/>
  <c r="J104" i="1"/>
  <c r="L104" i="1"/>
  <c r="H108" i="1"/>
  <c r="J108" i="1"/>
  <c r="L108" i="1"/>
  <c r="H111" i="1"/>
  <c r="J111" i="1"/>
  <c r="L111" i="1"/>
  <c r="H112" i="1"/>
  <c r="J112" i="1"/>
  <c r="K112" i="1"/>
  <c r="H117" i="1"/>
  <c r="J117" i="1"/>
  <c r="L117" i="1"/>
  <c r="H120" i="1"/>
  <c r="J120" i="1"/>
  <c r="H121" i="1"/>
  <c r="J121" i="1"/>
  <c r="L121" i="1"/>
  <c r="H125" i="1"/>
  <c r="J125" i="1"/>
  <c r="L125" i="1"/>
  <c r="H128" i="1"/>
  <c r="J128" i="1"/>
  <c r="L128" i="1"/>
  <c r="H129" i="1"/>
  <c r="J129" i="1"/>
  <c r="L129" i="1"/>
  <c r="H134" i="1"/>
  <c r="J134" i="1"/>
  <c r="L134" i="1"/>
  <c r="H14" i="1"/>
  <c r="J14" i="1"/>
  <c r="L14" i="1"/>
  <c r="H8" i="1"/>
  <c r="J8" i="1"/>
  <c r="L8" i="1"/>
  <c r="H9" i="1"/>
  <c r="J9" i="1"/>
  <c r="K9" i="1"/>
  <c r="H10" i="1"/>
  <c r="J10" i="1"/>
  <c r="L10" i="1"/>
  <c r="H11" i="1"/>
  <c r="J11" i="1"/>
  <c r="L11" i="1"/>
  <c r="H13" i="1"/>
  <c r="J13" i="1"/>
  <c r="H15" i="1"/>
  <c r="J15" i="1"/>
  <c r="L15" i="1"/>
  <c r="H16" i="1"/>
  <c r="J16" i="1"/>
  <c r="L16" i="1"/>
  <c r="H17" i="1"/>
  <c r="J17" i="1"/>
  <c r="K17" i="1"/>
  <c r="H18" i="1"/>
  <c r="J18" i="1"/>
  <c r="L18" i="1"/>
  <c r="H19" i="1"/>
  <c r="J19" i="1"/>
  <c r="L19" i="1"/>
  <c r="H20" i="1"/>
  <c r="J20" i="1"/>
  <c r="L20" i="1"/>
  <c r="H21" i="1"/>
  <c r="J21" i="1"/>
  <c r="L21" i="1"/>
  <c r="H22" i="1"/>
  <c r="J22" i="1"/>
  <c r="L22" i="1"/>
  <c r="H24" i="1"/>
  <c r="J24" i="1"/>
  <c r="L24" i="1"/>
  <c r="H25" i="1"/>
  <c r="J25" i="1"/>
  <c r="L25" i="1"/>
  <c r="H26" i="1"/>
  <c r="J26" i="1"/>
  <c r="L26" i="1"/>
  <c r="H27" i="1"/>
  <c r="J27" i="1"/>
  <c r="L27" i="1"/>
  <c r="H28" i="1"/>
  <c r="J28" i="1"/>
  <c r="L28" i="1"/>
  <c r="H30" i="1"/>
  <c r="J30" i="1"/>
  <c r="H31" i="1"/>
  <c r="J31" i="1"/>
  <c r="K31" i="1"/>
  <c r="H32" i="1"/>
  <c r="J32" i="1"/>
  <c r="L32" i="1"/>
  <c r="H33" i="1"/>
  <c r="J33" i="1"/>
  <c r="L33" i="1"/>
  <c r="H34" i="1"/>
  <c r="J34" i="1"/>
  <c r="K34" i="1"/>
  <c r="H35" i="1"/>
  <c r="J35" i="1"/>
  <c r="L35" i="1"/>
  <c r="H36" i="1"/>
  <c r="J36" i="1"/>
  <c r="L36" i="1"/>
  <c r="H37" i="1"/>
  <c r="J37" i="1"/>
  <c r="L37" i="1"/>
  <c r="H38" i="1"/>
  <c r="J38" i="1"/>
  <c r="K38" i="1"/>
  <c r="H39" i="1"/>
  <c r="J39" i="1"/>
  <c r="L39" i="1"/>
  <c r="H40" i="1"/>
  <c r="J40" i="1"/>
  <c r="L40" i="1"/>
  <c r="H41" i="1"/>
  <c r="J41" i="1"/>
  <c r="L41" i="1"/>
  <c r="H43" i="1"/>
  <c r="J43" i="1"/>
  <c r="H44" i="1"/>
  <c r="J44" i="1"/>
  <c r="L44" i="1"/>
  <c r="H45" i="1"/>
  <c r="J45" i="1"/>
  <c r="L45" i="1"/>
  <c r="H47" i="1"/>
  <c r="J47" i="1"/>
  <c r="H49" i="1"/>
  <c r="J49" i="1"/>
  <c r="L49" i="1"/>
  <c r="H50" i="1"/>
  <c r="J50" i="1"/>
  <c r="L50" i="1"/>
  <c r="H52" i="1"/>
  <c r="J52" i="1"/>
  <c r="L52" i="1"/>
  <c r="H53" i="1"/>
  <c r="J53" i="1"/>
  <c r="L53" i="1"/>
  <c r="H55" i="1"/>
  <c r="J55" i="1"/>
  <c r="L55" i="1"/>
  <c r="H57" i="1"/>
  <c r="J57" i="1"/>
  <c r="L57" i="1"/>
  <c r="H58" i="1"/>
  <c r="J58" i="1"/>
  <c r="L58" i="1"/>
  <c r="H59" i="1"/>
  <c r="J59" i="1"/>
  <c r="L59" i="1"/>
  <c r="H61" i="1"/>
  <c r="J61" i="1"/>
  <c r="L61" i="1"/>
  <c r="H62" i="1"/>
  <c r="J62" i="1"/>
  <c r="L62" i="1"/>
  <c r="H63" i="1"/>
  <c r="J63" i="1"/>
  <c r="L63" i="1"/>
  <c r="H65" i="1"/>
  <c r="J65" i="1"/>
  <c r="L65" i="1"/>
  <c r="H66" i="1"/>
  <c r="J66" i="1"/>
  <c r="L66" i="1"/>
  <c r="H67" i="1"/>
  <c r="J67" i="1"/>
  <c r="L67" i="1"/>
  <c r="H69" i="1"/>
  <c r="J69" i="1"/>
  <c r="K69" i="1"/>
  <c r="H70" i="1"/>
  <c r="J70" i="1"/>
  <c r="H71" i="1"/>
  <c r="J71" i="1"/>
  <c r="H73" i="1"/>
  <c r="J73" i="1"/>
  <c r="L73" i="1"/>
  <c r="H74" i="1"/>
  <c r="J74" i="1"/>
  <c r="L74" i="1"/>
  <c r="H75" i="1"/>
  <c r="J75" i="1"/>
  <c r="L75" i="1"/>
  <c r="H77" i="1"/>
  <c r="J77" i="1"/>
  <c r="L77" i="1"/>
  <c r="H78" i="1"/>
  <c r="J78" i="1"/>
  <c r="L78" i="1"/>
  <c r="H79" i="1"/>
  <c r="J79" i="1"/>
  <c r="L79" i="1"/>
  <c r="H81" i="1"/>
  <c r="J81" i="1"/>
  <c r="L81" i="1"/>
  <c r="H82" i="1"/>
  <c r="J82" i="1"/>
  <c r="L82" i="1"/>
  <c r="H83" i="1"/>
  <c r="J83" i="1"/>
  <c r="L83" i="1"/>
  <c r="H85" i="1"/>
  <c r="J85" i="1"/>
  <c r="K85" i="1"/>
  <c r="H86" i="1"/>
  <c r="J86" i="1"/>
  <c r="H87" i="1"/>
  <c r="J87" i="1"/>
  <c r="H89" i="1"/>
  <c r="J89" i="1"/>
  <c r="L89" i="1"/>
  <c r="H90" i="1"/>
  <c r="J90" i="1"/>
  <c r="L90" i="1"/>
  <c r="H91" i="1"/>
  <c r="J91" i="1"/>
  <c r="L91" i="1"/>
  <c r="H93" i="1"/>
  <c r="J93" i="1"/>
  <c r="L93" i="1"/>
  <c r="H94" i="1"/>
  <c r="J94" i="1"/>
  <c r="K94" i="1"/>
  <c r="H97" i="1"/>
  <c r="J97" i="1"/>
  <c r="L97" i="1"/>
  <c r="H98" i="1"/>
  <c r="J98" i="1"/>
  <c r="L98" i="1"/>
  <c r="H99" i="1"/>
  <c r="J99" i="1"/>
  <c r="L99" i="1"/>
  <c r="H101" i="1"/>
  <c r="J101" i="1"/>
  <c r="K101" i="1"/>
  <c r="H102" i="1"/>
  <c r="J102" i="1"/>
  <c r="K102" i="1"/>
  <c r="H105" i="1"/>
  <c r="J105" i="1"/>
  <c r="L105" i="1"/>
  <c r="H106" i="1"/>
  <c r="J106" i="1"/>
  <c r="L106" i="1"/>
  <c r="H107" i="1"/>
  <c r="J107" i="1"/>
  <c r="L107" i="1"/>
  <c r="H109" i="1"/>
  <c r="J109" i="1"/>
  <c r="L109" i="1"/>
  <c r="H110" i="1"/>
  <c r="J110" i="1"/>
  <c r="L110" i="1"/>
  <c r="H114" i="1"/>
  <c r="J114" i="1"/>
  <c r="L114" i="1"/>
  <c r="H115" i="1"/>
  <c r="J115" i="1"/>
  <c r="K115" i="1"/>
  <c r="H116" i="1"/>
  <c r="J116" i="1"/>
  <c r="L116" i="1"/>
  <c r="H118" i="1"/>
  <c r="J118" i="1"/>
  <c r="H119" i="1"/>
  <c r="J119" i="1"/>
  <c r="H122" i="1"/>
  <c r="J122" i="1"/>
  <c r="L122" i="1"/>
  <c r="H123" i="1"/>
  <c r="J123" i="1"/>
  <c r="L123" i="1"/>
  <c r="H124" i="1"/>
  <c r="J124" i="1"/>
  <c r="L124" i="1"/>
  <c r="H126" i="1"/>
  <c r="J126" i="1"/>
  <c r="L126" i="1"/>
  <c r="H127" i="1"/>
  <c r="J127" i="1"/>
  <c r="L127" i="1"/>
  <c r="H130" i="1"/>
  <c r="J130" i="1"/>
  <c r="L130" i="1"/>
  <c r="H132" i="1"/>
  <c r="J132" i="1"/>
  <c r="L132" i="1"/>
  <c r="H133" i="1"/>
  <c r="J133" i="1"/>
  <c r="L133" i="1"/>
  <c r="H135" i="1"/>
  <c r="J135" i="1"/>
  <c r="K135" i="1"/>
  <c r="H5" i="1"/>
  <c r="J5" i="1"/>
  <c r="K23" i="1"/>
  <c r="K7" i="1"/>
  <c r="I137" i="1"/>
  <c r="I138" i="1"/>
  <c r="G137" i="1"/>
  <c r="G138" i="1"/>
  <c r="F137" i="1"/>
  <c r="E137" i="1"/>
  <c r="E138" i="1"/>
  <c r="D137" i="1"/>
  <c r="D138" i="1"/>
  <c r="C137" i="1"/>
  <c r="C138" i="1"/>
  <c r="B137" i="1"/>
  <c r="B138" i="1"/>
  <c r="L38" i="1"/>
  <c r="L34" i="1"/>
  <c r="L17" i="1"/>
  <c r="K133" i="1"/>
  <c r="K128" i="1"/>
  <c r="K111" i="1"/>
  <c r="K99" i="1"/>
  <c r="K95" i="1"/>
  <c r="K91" i="1"/>
  <c r="K79" i="1"/>
  <c r="K67" i="1"/>
  <c r="K63" i="1"/>
  <c r="K127" i="1"/>
  <c r="K106" i="1"/>
  <c r="K90" i="1"/>
  <c r="K82" i="1"/>
  <c r="K74" i="1"/>
  <c r="K66" i="1"/>
  <c r="K62" i="1"/>
  <c r="K58" i="1"/>
  <c r="G139" i="1"/>
  <c r="G141" i="1"/>
  <c r="K126" i="1"/>
  <c r="K122" i="1"/>
  <c r="K114" i="1"/>
  <c r="K97" i="1"/>
  <c r="K93" i="1"/>
  <c r="K77" i="1"/>
  <c r="K73" i="1"/>
  <c r="K61" i="1"/>
  <c r="K57" i="1"/>
  <c r="K6" i="1"/>
  <c r="K134" i="1"/>
  <c r="K125" i="1"/>
  <c r="K121" i="1"/>
  <c r="K117" i="1"/>
  <c r="K108" i="1"/>
  <c r="K104" i="1"/>
  <c r="K100" i="1"/>
  <c r="K92" i="1"/>
  <c r="K88" i="1"/>
  <c r="K80" i="1"/>
  <c r="K76" i="1"/>
  <c r="K72" i="1"/>
  <c r="K64" i="1"/>
  <c r="K52" i="1"/>
  <c r="K49" i="1"/>
  <c r="C139" i="1"/>
  <c r="C141" i="1"/>
  <c r="H137" i="1"/>
  <c r="I139" i="1"/>
  <c r="I140" i="1"/>
  <c r="K37" i="1"/>
  <c r="K33" i="1"/>
  <c r="K25" i="1"/>
  <c r="K20" i="1"/>
  <c r="K16" i="1"/>
  <c r="K12" i="1"/>
  <c r="K8" i="1"/>
  <c r="K18" i="1"/>
  <c r="K35" i="1"/>
  <c r="K55" i="1"/>
  <c r="K45" i="1"/>
  <c r="E139" i="1"/>
  <c r="E140" i="1"/>
  <c r="K50" i="1"/>
  <c r="K40" i="1"/>
  <c r="K36" i="1"/>
  <c r="K32" i="1"/>
  <c r="K28" i="1"/>
  <c r="K24" i="1"/>
  <c r="K19" i="1"/>
  <c r="K15" i="1"/>
  <c r="K11" i="1"/>
  <c r="K22" i="1"/>
  <c r="K39" i="1"/>
  <c r="K56" i="1"/>
  <c r="K46" i="1"/>
  <c r="K10" i="1"/>
  <c r="K27" i="1"/>
  <c r="K44" i="1"/>
  <c r="G140" i="1"/>
  <c r="C140" i="1"/>
  <c r="E141" i="1"/>
  <c r="K60" i="1"/>
  <c r="I141" i="1"/>
  <c r="D139" i="1"/>
  <c r="D140" i="1"/>
  <c r="D141" i="1"/>
  <c r="K53" i="1"/>
  <c r="K29" i="1"/>
  <c r="K51" i="1"/>
  <c r="H138" i="1"/>
  <c r="K68" i="1"/>
  <c r="K84" i="1"/>
  <c r="K65" i="1"/>
  <c r="K89" i="1"/>
  <c r="K109" i="1"/>
  <c r="K130" i="1"/>
  <c r="K78" i="1"/>
  <c r="K98" i="1"/>
  <c r="K123" i="1"/>
  <c r="K83" i="1"/>
  <c r="K107" i="1"/>
  <c r="L9" i="1"/>
  <c r="L135" i="1"/>
  <c r="L115" i="1"/>
  <c r="L101" i="1"/>
  <c r="L94" i="1"/>
  <c r="L31" i="1"/>
  <c r="K26" i="1"/>
  <c r="K21" i="1"/>
  <c r="K14" i="1"/>
  <c r="L112" i="1"/>
  <c r="L103" i="1"/>
  <c r="L5" i="1"/>
  <c r="J137" i="1"/>
  <c r="K118" i="1"/>
  <c r="L118" i="1"/>
  <c r="K86" i="1"/>
  <c r="L86" i="1"/>
  <c r="K70" i="1"/>
  <c r="L70" i="1"/>
  <c r="K47" i="1"/>
  <c r="L47" i="1"/>
  <c r="L120" i="1"/>
  <c r="K120" i="1"/>
  <c r="K110" i="1"/>
  <c r="K132" i="1"/>
  <c r="K75" i="1"/>
  <c r="K116" i="1"/>
  <c r="K5" i="1"/>
  <c r="L102" i="1"/>
  <c r="L85" i="1"/>
  <c r="L69" i="1"/>
  <c r="K41" i="1"/>
  <c r="K96" i="1"/>
  <c r="K129" i="1"/>
  <c r="K81" i="1"/>
  <c r="K105" i="1"/>
  <c r="K59" i="1"/>
  <c r="K124" i="1"/>
  <c r="B139" i="1"/>
  <c r="B141" i="1"/>
  <c r="B140" i="1"/>
  <c r="F138" i="1"/>
  <c r="F139" i="1"/>
  <c r="L119" i="1"/>
  <c r="K119" i="1"/>
  <c r="L87" i="1"/>
  <c r="K87" i="1"/>
  <c r="L71" i="1"/>
  <c r="K71" i="1"/>
  <c r="L43" i="1"/>
  <c r="K43" i="1"/>
  <c r="K30" i="1"/>
  <c r="L30" i="1"/>
  <c r="L13" i="1"/>
  <c r="K13" i="1"/>
  <c r="K137" i="1"/>
  <c r="L137" i="1"/>
  <c r="L138" i="1"/>
  <c r="F140" i="1"/>
  <c r="F141" i="1"/>
  <c r="J138" i="1"/>
  <c r="J139" i="1"/>
  <c r="H139" i="1"/>
  <c r="H141" i="1"/>
  <c r="H140" i="1"/>
  <c r="K138" i="1"/>
  <c r="J140" i="1"/>
  <c r="L139" i="1"/>
  <c r="L140" i="1"/>
  <c r="J141" i="1"/>
  <c r="K139" i="1"/>
  <c r="K141" i="1"/>
  <c r="L141" i="1"/>
  <c r="K140" i="1"/>
</calcChain>
</file>

<file path=xl/sharedStrings.xml><?xml version="1.0" encoding="utf-8"?>
<sst xmlns="http://schemas.openxmlformats.org/spreadsheetml/2006/main" count="157" uniqueCount="21">
  <si>
    <t>NAME</t>
  </si>
  <si>
    <t>QUIZ1</t>
  </si>
  <si>
    <t>QUIZ2</t>
  </si>
  <si>
    <t>EXAM1</t>
  </si>
  <si>
    <t>QUIZ3</t>
  </si>
  <si>
    <t>QUIZ4</t>
  </si>
  <si>
    <t>EXAM2</t>
  </si>
  <si>
    <t>POINTS</t>
  </si>
  <si>
    <t>% of POINTS</t>
  </si>
  <si>
    <t>Points</t>
  </si>
  <si>
    <t>max</t>
  </si>
  <si>
    <t>max STUDENT</t>
  </si>
  <si>
    <t>LAB pts</t>
  </si>
  <si>
    <t>TOTAL pts</t>
  </si>
  <si>
    <t>MAX</t>
  </si>
  <si>
    <t>MIN</t>
  </si>
  <si>
    <t>AVG</t>
  </si>
  <si>
    <t>STDEV</t>
  </si>
  <si>
    <t>MEDIAN</t>
  </si>
  <si>
    <t>% pf POINTS</t>
  </si>
  <si>
    <t>STUDENT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</si>
</sst>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0" fontId="2" fillId="3" borderId="1" xfId="0" applyFont="1" applyFill="1" applyBorder="1"/>
    <xf numFmtId="0" fontId="0" fillId="4" borderId="1" xfId="0" applyFill="1" applyBorder="1"/>
    <xf numFmtId="2" fontId="0" fillId="4" borderId="1" xfId="0" applyNumberFormat="1" applyFill="1" applyBorder="1"/>
    <xf numFmtId="0" fontId="3" fillId="4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41"/>
  <sheetViews>
    <sheetView tabSelected="1" topLeftCell="A102" workbookViewId="0">
      <selection activeCell="A10" sqref="A10:XFD10"/>
    </sheetView>
  </sheetViews>
  <sheetFormatPr baseColWidth="10" defaultColWidth="11" defaultRowHeight="16" x14ac:dyDescent="0.2"/>
  <cols>
    <col min="1" max="1" width="30.83203125" bestFit="1" customWidth="1"/>
    <col min="2" max="10" width="12.1640625" customWidth="1"/>
    <col min="11" max="11" width="13" bestFit="1" customWidth="1"/>
    <col min="12" max="12" width="13" customWidth="1"/>
  </cols>
  <sheetData>
    <row r="1" spans="1:12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12</v>
      </c>
      <c r="J1" s="2" t="s">
        <v>13</v>
      </c>
      <c r="K1" s="2" t="s">
        <v>8</v>
      </c>
      <c r="L1" s="2" t="s">
        <v>19</v>
      </c>
    </row>
    <row r="2" spans="1:12" x14ac:dyDescent="0.2">
      <c r="A2" s="2"/>
      <c r="B2" s="2" t="s">
        <v>9</v>
      </c>
      <c r="C2" s="2" t="s">
        <v>9</v>
      </c>
      <c r="D2" s="2" t="s">
        <v>9</v>
      </c>
      <c r="E2" s="2" t="s">
        <v>9</v>
      </c>
      <c r="F2" s="2" t="s">
        <v>9</v>
      </c>
      <c r="G2" s="2" t="s">
        <v>9</v>
      </c>
      <c r="H2" s="2" t="s">
        <v>10</v>
      </c>
      <c r="I2" s="2"/>
      <c r="J2" s="2"/>
      <c r="K2" s="2" t="s">
        <v>11</v>
      </c>
      <c r="L2" s="2" t="s">
        <v>11</v>
      </c>
    </row>
    <row r="3" spans="1:12" x14ac:dyDescent="0.2">
      <c r="A3" s="2"/>
      <c r="B3" s="2">
        <v>100</v>
      </c>
      <c r="C3" s="2">
        <v>100</v>
      </c>
      <c r="D3" s="2">
        <v>150</v>
      </c>
      <c r="E3" s="2">
        <v>100</v>
      </c>
      <c r="F3" s="2">
        <v>100</v>
      </c>
      <c r="G3" s="2">
        <v>150</v>
      </c>
      <c r="H3" s="2">
        <v>700</v>
      </c>
      <c r="I3" s="2">
        <v>300</v>
      </c>
      <c r="J3" s="2">
        <v>1000</v>
      </c>
      <c r="K3" s="2">
        <v>950</v>
      </c>
      <c r="L3" s="2">
        <v>925</v>
      </c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">
      <c r="A5" s="1" t="s">
        <v>20</v>
      </c>
      <c r="B5" s="4">
        <v>85</v>
      </c>
      <c r="C5" s="4">
        <v>68.33</v>
      </c>
      <c r="D5" s="4">
        <v>125</v>
      </c>
      <c r="E5" s="4">
        <v>89.58</v>
      </c>
      <c r="F5" s="4">
        <v>65</v>
      </c>
      <c r="G5" s="4">
        <v>125</v>
      </c>
      <c r="H5" s="4">
        <f>SUM(B5:G5)</f>
        <v>557.91</v>
      </c>
      <c r="I5" s="4">
        <v>286</v>
      </c>
      <c r="J5" s="4">
        <f>H5+I5</f>
        <v>843.91</v>
      </c>
      <c r="K5" s="5">
        <f>(J5/950)*100</f>
        <v>88.832631578947357</v>
      </c>
      <c r="L5" s="5">
        <f>(J5/925)*100</f>
        <v>91.233513513513515</v>
      </c>
    </row>
    <row r="6" spans="1:12" x14ac:dyDescent="0.2">
      <c r="A6" s="1" t="s">
        <v>20</v>
      </c>
      <c r="B6" s="4">
        <v>90</v>
      </c>
      <c r="C6" s="4">
        <v>83</v>
      </c>
      <c r="D6" s="4">
        <v>150</v>
      </c>
      <c r="E6" s="4">
        <v>89.79</v>
      </c>
      <c r="F6" s="4">
        <v>100</v>
      </c>
      <c r="G6" s="4">
        <v>126</v>
      </c>
      <c r="H6" s="4">
        <f>SUM(B6:G6)</f>
        <v>638.79</v>
      </c>
      <c r="I6" s="4">
        <v>300</v>
      </c>
      <c r="J6" s="4">
        <f>H6+I6</f>
        <v>938.79</v>
      </c>
      <c r="K6" s="5">
        <f>(J6/950)*100</f>
        <v>98.82</v>
      </c>
      <c r="L6" s="5">
        <f>(J6/925)*100</f>
        <v>101.49081081081081</v>
      </c>
    </row>
    <row r="7" spans="1:12" x14ac:dyDescent="0.2">
      <c r="A7" s="1" t="s">
        <v>20</v>
      </c>
      <c r="B7" s="4">
        <v>80</v>
      </c>
      <c r="C7" s="4">
        <v>97</v>
      </c>
      <c r="D7" s="4">
        <v>150</v>
      </c>
      <c r="E7" s="4">
        <v>89.79</v>
      </c>
      <c r="F7" s="4">
        <v>111</v>
      </c>
      <c r="G7" s="4">
        <v>125</v>
      </c>
      <c r="H7" s="4">
        <f>SUM(B7:G7)</f>
        <v>652.79</v>
      </c>
      <c r="I7" s="4">
        <v>300</v>
      </c>
      <c r="J7" s="4">
        <f>H7+I7</f>
        <v>952.79</v>
      </c>
      <c r="K7" s="5">
        <f>(J7/950)*100</f>
        <v>100.29368421052631</v>
      </c>
      <c r="L7" s="5">
        <f>(J7/925)*100</f>
        <v>103.00432432432432</v>
      </c>
    </row>
    <row r="8" spans="1:12" x14ac:dyDescent="0.2">
      <c r="A8" s="1" t="s">
        <v>20</v>
      </c>
      <c r="B8" s="4">
        <v>90</v>
      </c>
      <c r="C8" s="4">
        <v>85</v>
      </c>
      <c r="D8" s="4">
        <v>150</v>
      </c>
      <c r="E8" s="4">
        <v>99.58</v>
      </c>
      <c r="F8" s="4">
        <v>65</v>
      </c>
      <c r="G8" s="4">
        <v>95</v>
      </c>
      <c r="H8" s="4">
        <f>SUM(B8:G8)</f>
        <v>584.57999999999993</v>
      </c>
      <c r="I8" s="4">
        <v>294</v>
      </c>
      <c r="J8" s="4">
        <f>H8+I8</f>
        <v>878.57999999999993</v>
      </c>
      <c r="K8" s="5">
        <f>(J8/950)*100</f>
        <v>92.482105263157891</v>
      </c>
      <c r="L8" s="5">
        <f>(J8/925)*100</f>
        <v>94.981621621621613</v>
      </c>
    </row>
    <row r="9" spans="1:12" x14ac:dyDescent="0.2">
      <c r="A9" s="1" t="s">
        <v>20</v>
      </c>
      <c r="B9" s="4">
        <v>80</v>
      </c>
      <c r="C9" s="4">
        <v>88.83</v>
      </c>
      <c r="D9" s="4">
        <v>125</v>
      </c>
      <c r="E9" s="4">
        <v>88.75</v>
      </c>
      <c r="F9" s="4">
        <v>35</v>
      </c>
      <c r="G9" s="4">
        <v>104</v>
      </c>
      <c r="H9" s="4">
        <f>SUM(B9:G9)</f>
        <v>521.57999999999993</v>
      </c>
      <c r="I9" s="4">
        <v>285</v>
      </c>
      <c r="J9" s="4">
        <f>H9+I9</f>
        <v>806.57999999999993</v>
      </c>
      <c r="K9" s="5">
        <f>(J9/950)*100</f>
        <v>84.903157894736836</v>
      </c>
      <c r="L9" s="5">
        <f>(J9/925)*100</f>
        <v>87.197837837837838</v>
      </c>
    </row>
    <row r="10" spans="1:12" x14ac:dyDescent="0.2">
      <c r="A10" s="1" t="s">
        <v>20</v>
      </c>
      <c r="B10" s="4">
        <v>60</v>
      </c>
      <c r="C10" s="4">
        <v>75</v>
      </c>
      <c r="D10" s="4">
        <v>85</v>
      </c>
      <c r="E10" s="4">
        <v>69.849999999999994</v>
      </c>
      <c r="F10" s="4">
        <v>77</v>
      </c>
      <c r="G10" s="4">
        <v>84</v>
      </c>
      <c r="H10" s="4">
        <f t="shared" ref="H10:H26" si="0">SUM(B10:G10)</f>
        <v>450.85</v>
      </c>
      <c r="I10" s="4">
        <v>271</v>
      </c>
      <c r="J10" s="4">
        <f t="shared" ref="J10:J23" si="1">H10+I10</f>
        <v>721.85</v>
      </c>
      <c r="K10" s="5">
        <f t="shared" ref="K10:K22" si="2">(J10/950)*100</f>
        <v>75.984210526315792</v>
      </c>
      <c r="L10" s="5">
        <f t="shared" ref="L10:L23" si="3">(J10/925)*100</f>
        <v>78.037837837837841</v>
      </c>
    </row>
    <row r="11" spans="1:12" x14ac:dyDescent="0.2">
      <c r="A11" s="1" t="s">
        <v>20</v>
      </c>
      <c r="B11" s="4">
        <v>100</v>
      </c>
      <c r="C11" s="4">
        <v>78</v>
      </c>
      <c r="D11" s="4">
        <v>120</v>
      </c>
      <c r="E11" s="4">
        <v>99.58</v>
      </c>
      <c r="F11" s="4">
        <v>65</v>
      </c>
      <c r="G11" s="4">
        <v>121</v>
      </c>
      <c r="H11" s="4">
        <f t="shared" si="0"/>
        <v>583.57999999999993</v>
      </c>
      <c r="I11" s="4">
        <v>285</v>
      </c>
      <c r="J11" s="4">
        <f t="shared" si="1"/>
        <v>868.57999999999993</v>
      </c>
      <c r="K11" s="5">
        <f t="shared" si="2"/>
        <v>91.429473684210521</v>
      </c>
      <c r="L11" s="5">
        <f t="shared" si="3"/>
        <v>93.900540540540533</v>
      </c>
    </row>
    <row r="12" spans="1:12" x14ac:dyDescent="0.2">
      <c r="A12" s="1" t="s">
        <v>20</v>
      </c>
      <c r="B12" s="4">
        <v>80</v>
      </c>
      <c r="C12" s="4">
        <v>98.33</v>
      </c>
      <c r="D12" s="4">
        <v>147.5</v>
      </c>
      <c r="E12" s="4">
        <v>79.16</v>
      </c>
      <c r="F12" s="4">
        <v>62</v>
      </c>
      <c r="G12" s="4">
        <v>95</v>
      </c>
      <c r="H12" s="4">
        <f t="shared" si="0"/>
        <v>561.99</v>
      </c>
      <c r="I12" s="4">
        <v>297</v>
      </c>
      <c r="J12" s="4">
        <f t="shared" si="1"/>
        <v>858.99</v>
      </c>
      <c r="K12" s="5">
        <f t="shared" si="2"/>
        <v>90.42</v>
      </c>
      <c r="L12" s="5">
        <f t="shared" si="3"/>
        <v>92.863783783783788</v>
      </c>
    </row>
    <row r="13" spans="1:12" x14ac:dyDescent="0.2">
      <c r="A13" s="1" t="s">
        <v>20</v>
      </c>
      <c r="B13" s="4">
        <v>70</v>
      </c>
      <c r="C13" s="4">
        <v>84</v>
      </c>
      <c r="D13" s="4">
        <v>70</v>
      </c>
      <c r="E13" s="4">
        <v>58.54</v>
      </c>
      <c r="F13" s="4">
        <v>50</v>
      </c>
      <c r="G13" s="4">
        <v>98</v>
      </c>
      <c r="H13" s="4">
        <f t="shared" si="0"/>
        <v>430.54</v>
      </c>
      <c r="I13" s="4">
        <v>293</v>
      </c>
      <c r="J13" s="4">
        <f t="shared" si="1"/>
        <v>723.54</v>
      </c>
      <c r="K13" s="5">
        <f t="shared" si="2"/>
        <v>76.162105263157883</v>
      </c>
      <c r="L13" s="5">
        <f t="shared" si="3"/>
        <v>78.22054054054054</v>
      </c>
    </row>
    <row r="14" spans="1:12" x14ac:dyDescent="0.2">
      <c r="A14" s="1" t="s">
        <v>20</v>
      </c>
      <c r="B14" s="4">
        <v>75</v>
      </c>
      <c r="C14" s="4">
        <v>80.33</v>
      </c>
      <c r="D14" s="4">
        <v>112.5</v>
      </c>
      <c r="E14" s="4">
        <v>89.53</v>
      </c>
      <c r="F14" s="4">
        <v>60</v>
      </c>
      <c r="G14" s="4">
        <v>104</v>
      </c>
      <c r="H14" s="4">
        <f t="shared" si="0"/>
        <v>521.36</v>
      </c>
      <c r="I14" s="4">
        <v>275</v>
      </c>
      <c r="J14" s="4">
        <f t="shared" si="1"/>
        <v>796.36</v>
      </c>
      <c r="K14" s="5">
        <f t="shared" si="2"/>
        <v>83.827368421052626</v>
      </c>
      <c r="L14" s="5">
        <f t="shared" si="3"/>
        <v>86.092972972972973</v>
      </c>
    </row>
    <row r="15" spans="1:12" x14ac:dyDescent="0.2">
      <c r="A15" s="1" t="s">
        <v>20</v>
      </c>
      <c r="B15" s="4">
        <v>94</v>
      </c>
      <c r="C15" s="4">
        <v>84.5</v>
      </c>
      <c r="D15" s="4">
        <v>147.5</v>
      </c>
      <c r="E15" s="4">
        <v>99.79</v>
      </c>
      <c r="F15" s="4">
        <v>90</v>
      </c>
      <c r="G15" s="4">
        <v>135</v>
      </c>
      <c r="H15" s="4">
        <f t="shared" si="0"/>
        <v>650.79</v>
      </c>
      <c r="I15" s="4">
        <v>300</v>
      </c>
      <c r="J15" s="4">
        <f t="shared" si="1"/>
        <v>950.79</v>
      </c>
      <c r="K15" s="5">
        <f t="shared" si="2"/>
        <v>100.08315789473683</v>
      </c>
      <c r="L15" s="5">
        <f t="shared" si="3"/>
        <v>102.7881081081081</v>
      </c>
    </row>
    <row r="16" spans="1:12" x14ac:dyDescent="0.2">
      <c r="A16" s="1" t="s">
        <v>20</v>
      </c>
      <c r="B16" s="4">
        <v>85</v>
      </c>
      <c r="C16" s="4">
        <v>81</v>
      </c>
      <c r="D16" s="4">
        <v>130</v>
      </c>
      <c r="E16" s="4">
        <v>98.59</v>
      </c>
      <c r="F16" s="4">
        <v>75</v>
      </c>
      <c r="G16" s="4">
        <v>125</v>
      </c>
      <c r="H16" s="4">
        <f t="shared" si="0"/>
        <v>594.59</v>
      </c>
      <c r="I16" s="4">
        <v>300</v>
      </c>
      <c r="J16" s="4">
        <f t="shared" si="1"/>
        <v>894.59</v>
      </c>
      <c r="K16" s="5">
        <f t="shared" si="2"/>
        <v>94.167368421052629</v>
      </c>
      <c r="L16" s="5">
        <f t="shared" si="3"/>
        <v>96.712432432432436</v>
      </c>
    </row>
    <row r="17" spans="1:12" x14ac:dyDescent="0.2">
      <c r="A17" s="1" t="s">
        <v>20</v>
      </c>
      <c r="B17" s="4">
        <v>70</v>
      </c>
      <c r="C17" s="4">
        <v>90.5</v>
      </c>
      <c r="D17" s="4">
        <v>137.5</v>
      </c>
      <c r="E17" s="4">
        <v>99.68</v>
      </c>
      <c r="F17" s="4">
        <v>50</v>
      </c>
      <c r="G17" s="4">
        <v>107</v>
      </c>
      <c r="H17" s="4">
        <f t="shared" si="0"/>
        <v>554.68000000000006</v>
      </c>
      <c r="I17" s="4">
        <v>283</v>
      </c>
      <c r="J17" s="4">
        <f t="shared" si="1"/>
        <v>837.68000000000006</v>
      </c>
      <c r="K17" s="5">
        <f t="shared" si="2"/>
        <v>88.176842105263162</v>
      </c>
      <c r="L17" s="5">
        <f t="shared" si="3"/>
        <v>90.56</v>
      </c>
    </row>
    <row r="18" spans="1:12" x14ac:dyDescent="0.2">
      <c r="A18" s="1" t="s">
        <v>20</v>
      </c>
      <c r="B18" s="4">
        <v>85</v>
      </c>
      <c r="C18" s="4">
        <v>98.33</v>
      </c>
      <c r="D18" s="4">
        <v>150</v>
      </c>
      <c r="E18" s="4">
        <v>99.58</v>
      </c>
      <c r="F18" s="4">
        <v>90</v>
      </c>
      <c r="G18" s="4">
        <v>135</v>
      </c>
      <c r="H18" s="4">
        <f t="shared" si="0"/>
        <v>657.91</v>
      </c>
      <c r="I18" s="4">
        <v>300</v>
      </c>
      <c r="J18" s="4">
        <f t="shared" si="1"/>
        <v>957.91</v>
      </c>
      <c r="K18" s="5">
        <f t="shared" si="2"/>
        <v>100.83263157894737</v>
      </c>
      <c r="L18" s="5">
        <f t="shared" si="3"/>
        <v>103.55783783783782</v>
      </c>
    </row>
    <row r="19" spans="1:12" x14ac:dyDescent="0.2">
      <c r="A19" s="1" t="s">
        <v>20</v>
      </c>
      <c r="B19" s="4">
        <v>76</v>
      </c>
      <c r="C19" s="4">
        <v>88</v>
      </c>
      <c r="D19" s="4">
        <v>120</v>
      </c>
      <c r="E19" s="4">
        <v>68.75</v>
      </c>
      <c r="F19" s="4">
        <v>50</v>
      </c>
      <c r="G19" s="4">
        <v>104</v>
      </c>
      <c r="H19" s="4">
        <f t="shared" si="0"/>
        <v>506.75</v>
      </c>
      <c r="I19" s="4">
        <v>292</v>
      </c>
      <c r="J19" s="4">
        <f t="shared" si="1"/>
        <v>798.75</v>
      </c>
      <c r="K19" s="5">
        <f t="shared" si="2"/>
        <v>84.078947368421055</v>
      </c>
      <c r="L19" s="5">
        <f t="shared" si="3"/>
        <v>86.35135135135134</v>
      </c>
    </row>
    <row r="20" spans="1:12" x14ac:dyDescent="0.2">
      <c r="A20" s="1" t="s">
        <v>20</v>
      </c>
      <c r="B20" s="4">
        <v>95</v>
      </c>
      <c r="C20" s="4">
        <v>83.83</v>
      </c>
      <c r="D20" s="4">
        <v>150</v>
      </c>
      <c r="E20" s="4">
        <v>99.21</v>
      </c>
      <c r="F20" s="4">
        <v>71</v>
      </c>
      <c r="G20" s="4">
        <v>134.5</v>
      </c>
      <c r="H20" s="4">
        <f t="shared" si="0"/>
        <v>633.54</v>
      </c>
      <c r="I20" s="4">
        <v>288</v>
      </c>
      <c r="J20" s="4">
        <f t="shared" si="1"/>
        <v>921.54</v>
      </c>
      <c r="K20" s="5">
        <f t="shared" si="2"/>
        <v>97.004210526315788</v>
      </c>
      <c r="L20" s="5">
        <f t="shared" si="3"/>
        <v>99.625945945945944</v>
      </c>
    </row>
    <row r="21" spans="1:12" x14ac:dyDescent="0.2">
      <c r="A21" s="1" t="s">
        <v>20</v>
      </c>
      <c r="B21" s="4">
        <v>75</v>
      </c>
      <c r="C21" s="4">
        <v>55.5</v>
      </c>
      <c r="D21" s="4">
        <v>120</v>
      </c>
      <c r="E21" s="4">
        <v>39.58</v>
      </c>
      <c r="F21" s="4">
        <v>55</v>
      </c>
      <c r="G21" s="4">
        <v>65</v>
      </c>
      <c r="H21" s="4">
        <f t="shared" si="0"/>
        <v>410.08</v>
      </c>
      <c r="I21" s="4">
        <v>276</v>
      </c>
      <c r="J21" s="4">
        <f t="shared" si="1"/>
        <v>686.07999999999993</v>
      </c>
      <c r="K21" s="5">
        <f t="shared" si="2"/>
        <v>72.218947368421055</v>
      </c>
      <c r="L21" s="5">
        <f t="shared" si="3"/>
        <v>74.170810810810806</v>
      </c>
    </row>
    <row r="22" spans="1:12" x14ac:dyDescent="0.2">
      <c r="A22" s="1" t="s">
        <v>20</v>
      </c>
      <c r="B22" s="4">
        <v>93</v>
      </c>
      <c r="C22" s="4">
        <v>86.33</v>
      </c>
      <c r="D22" s="4">
        <v>90</v>
      </c>
      <c r="E22" s="4">
        <v>99.32</v>
      </c>
      <c r="F22" s="4">
        <v>70</v>
      </c>
      <c r="G22" s="4">
        <v>106</v>
      </c>
      <c r="H22" s="4">
        <f t="shared" si="0"/>
        <v>544.65</v>
      </c>
      <c r="I22" s="4">
        <v>300</v>
      </c>
      <c r="J22" s="4">
        <f t="shared" si="1"/>
        <v>844.65</v>
      </c>
      <c r="K22" s="5">
        <f t="shared" si="2"/>
        <v>88.910526315789468</v>
      </c>
      <c r="L22" s="5">
        <f t="shared" si="3"/>
        <v>91.313513513513513</v>
      </c>
    </row>
    <row r="23" spans="1:12" x14ac:dyDescent="0.2">
      <c r="A23" s="1" t="s">
        <v>20</v>
      </c>
      <c r="B23" s="4">
        <v>72</v>
      </c>
      <c r="C23" s="4">
        <v>89.16</v>
      </c>
      <c r="D23" s="4">
        <v>102.5</v>
      </c>
      <c r="E23" s="4">
        <v>27.08</v>
      </c>
      <c r="F23" s="4"/>
      <c r="G23" s="4"/>
      <c r="H23" s="4">
        <f t="shared" si="0"/>
        <v>290.73999999999995</v>
      </c>
      <c r="I23" s="4"/>
      <c r="J23" s="4">
        <f t="shared" si="1"/>
        <v>290.73999999999995</v>
      </c>
      <c r="K23" s="5">
        <f>(J23/650)*100</f>
        <v>44.72923076923076</v>
      </c>
      <c r="L23" s="5">
        <f t="shared" si="3"/>
        <v>31.431351351351346</v>
      </c>
    </row>
    <row r="24" spans="1:12" x14ac:dyDescent="0.2">
      <c r="A24" s="1" t="s">
        <v>20</v>
      </c>
      <c r="B24" s="4">
        <v>60</v>
      </c>
      <c r="C24" s="4">
        <v>74.33</v>
      </c>
      <c r="D24" s="4">
        <v>120</v>
      </c>
      <c r="E24" s="4">
        <v>69.58</v>
      </c>
      <c r="F24" s="4">
        <v>69</v>
      </c>
      <c r="G24" s="4">
        <v>109</v>
      </c>
      <c r="H24" s="4">
        <f t="shared" si="0"/>
        <v>501.90999999999997</v>
      </c>
      <c r="I24" s="4">
        <v>287</v>
      </c>
      <c r="J24" s="4">
        <f>H24+I24</f>
        <v>788.91</v>
      </c>
      <c r="K24" s="5">
        <f>(J24/950)*100</f>
        <v>83.043157894736837</v>
      </c>
      <c r="L24" s="5">
        <f>(J24/925)*100</f>
        <v>85.287567567567564</v>
      </c>
    </row>
    <row r="25" spans="1:12" x14ac:dyDescent="0.2">
      <c r="A25" s="1" t="s">
        <v>20</v>
      </c>
      <c r="B25" s="4">
        <v>90</v>
      </c>
      <c r="C25" s="4">
        <v>91.33</v>
      </c>
      <c r="D25" s="4">
        <v>150</v>
      </c>
      <c r="E25" s="4">
        <v>90</v>
      </c>
      <c r="F25" s="4">
        <v>120</v>
      </c>
      <c r="G25" s="4">
        <v>134</v>
      </c>
      <c r="H25" s="4">
        <f t="shared" si="0"/>
        <v>675.32999999999993</v>
      </c>
      <c r="I25" s="4">
        <v>300</v>
      </c>
      <c r="J25" s="4">
        <f>H25+I25</f>
        <v>975.32999999999993</v>
      </c>
      <c r="K25" s="5">
        <f>(J25/950)*100</f>
        <v>102.66631578947367</v>
      </c>
      <c r="L25" s="5">
        <f>(J25/925)*100</f>
        <v>105.44108108108108</v>
      </c>
    </row>
    <row r="26" spans="1:12" x14ac:dyDescent="0.2">
      <c r="A26" s="1" t="s">
        <v>20</v>
      </c>
      <c r="B26" s="4">
        <v>80</v>
      </c>
      <c r="C26" s="4">
        <v>75.83</v>
      </c>
      <c r="D26" s="4">
        <v>150</v>
      </c>
      <c r="E26" s="4">
        <v>98.8</v>
      </c>
      <c r="F26" s="4">
        <v>70</v>
      </c>
      <c r="G26" s="4">
        <v>145</v>
      </c>
      <c r="H26" s="4">
        <f t="shared" si="0"/>
        <v>619.63</v>
      </c>
      <c r="I26" s="4">
        <v>289</v>
      </c>
      <c r="J26" s="4">
        <f>H26+I26</f>
        <v>908.63</v>
      </c>
      <c r="K26" s="5">
        <f>(J26/950)*100</f>
        <v>95.645263157894732</v>
      </c>
      <c r="L26" s="5">
        <f>(J26/925)*100</f>
        <v>98.230270270270267</v>
      </c>
    </row>
    <row r="27" spans="1:12" x14ac:dyDescent="0.2">
      <c r="A27" s="1" t="s">
        <v>20</v>
      </c>
      <c r="B27" s="6">
        <v>95</v>
      </c>
      <c r="C27" s="6">
        <v>86.33</v>
      </c>
      <c r="D27" s="6">
        <v>150</v>
      </c>
      <c r="E27" s="6">
        <v>95.26</v>
      </c>
      <c r="F27" s="6">
        <v>85</v>
      </c>
      <c r="G27" s="6">
        <v>130</v>
      </c>
      <c r="H27" s="4">
        <f t="shared" ref="H27:H49" si="4">SUM(B27:G27)</f>
        <v>641.58999999999992</v>
      </c>
      <c r="I27" s="6">
        <v>300</v>
      </c>
      <c r="J27" s="4">
        <f t="shared" ref="J27:J42" si="5">H27+I27</f>
        <v>941.58999999999992</v>
      </c>
      <c r="K27" s="5">
        <f t="shared" ref="K27:K42" si="6">(J27/950)*100</f>
        <v>99.114736842105259</v>
      </c>
      <c r="L27" s="5">
        <f t="shared" ref="L27:L42" si="7">(J27/925)*100</f>
        <v>101.79351351351352</v>
      </c>
    </row>
    <row r="28" spans="1:12" x14ac:dyDescent="0.2">
      <c r="A28" s="1" t="s">
        <v>20</v>
      </c>
      <c r="B28" s="6">
        <v>86</v>
      </c>
      <c r="C28" s="6">
        <v>72</v>
      </c>
      <c r="D28" s="6">
        <v>140</v>
      </c>
      <c r="E28" s="6">
        <v>86.87</v>
      </c>
      <c r="F28" s="6">
        <v>40</v>
      </c>
      <c r="G28" s="6">
        <v>47</v>
      </c>
      <c r="H28" s="4">
        <f t="shared" si="4"/>
        <v>471.87</v>
      </c>
      <c r="I28" s="6">
        <v>296</v>
      </c>
      <c r="J28" s="4">
        <f t="shared" si="5"/>
        <v>767.87</v>
      </c>
      <c r="K28" s="5">
        <f t="shared" si="6"/>
        <v>80.828421052631583</v>
      </c>
      <c r="L28" s="5">
        <f t="shared" si="7"/>
        <v>83.012972972972975</v>
      </c>
    </row>
    <row r="29" spans="1:12" x14ac:dyDescent="0.2">
      <c r="A29" s="1" t="s">
        <v>20</v>
      </c>
      <c r="B29" s="6">
        <v>94</v>
      </c>
      <c r="C29" s="6">
        <v>80</v>
      </c>
      <c r="D29" s="6">
        <v>130</v>
      </c>
      <c r="E29" s="6">
        <v>98.95</v>
      </c>
      <c r="F29" s="6">
        <v>100</v>
      </c>
      <c r="G29" s="6">
        <v>126</v>
      </c>
      <c r="H29" s="4">
        <f t="shared" si="4"/>
        <v>628.95000000000005</v>
      </c>
      <c r="I29" s="6">
        <v>292</v>
      </c>
      <c r="J29" s="4">
        <f t="shared" si="5"/>
        <v>920.95</v>
      </c>
      <c r="K29" s="5">
        <f t="shared" si="6"/>
        <v>96.942105263157899</v>
      </c>
      <c r="L29" s="5">
        <f t="shared" si="7"/>
        <v>99.562162162162167</v>
      </c>
    </row>
    <row r="30" spans="1:12" x14ac:dyDescent="0.2">
      <c r="A30" s="1" t="s">
        <v>20</v>
      </c>
      <c r="B30" s="6">
        <v>85</v>
      </c>
      <c r="C30" s="6">
        <v>88.33</v>
      </c>
      <c r="D30" s="6">
        <v>125</v>
      </c>
      <c r="E30" s="6">
        <v>99.47</v>
      </c>
      <c r="F30" s="6">
        <v>55</v>
      </c>
      <c r="G30" s="6">
        <v>61</v>
      </c>
      <c r="H30" s="4">
        <f t="shared" si="4"/>
        <v>513.79999999999995</v>
      </c>
      <c r="I30" s="6">
        <v>281</v>
      </c>
      <c r="J30" s="4">
        <f t="shared" si="5"/>
        <v>794.8</v>
      </c>
      <c r="K30" s="5">
        <f t="shared" si="6"/>
        <v>83.663157894736841</v>
      </c>
      <c r="L30" s="5">
        <f t="shared" si="7"/>
        <v>85.924324324324317</v>
      </c>
    </row>
    <row r="31" spans="1:12" x14ac:dyDescent="0.2">
      <c r="A31" s="1" t="s">
        <v>20</v>
      </c>
      <c r="B31" s="6">
        <v>55</v>
      </c>
      <c r="C31" s="6">
        <v>87</v>
      </c>
      <c r="D31" s="6">
        <v>110</v>
      </c>
      <c r="E31" s="6">
        <v>89.37</v>
      </c>
      <c r="F31" s="6">
        <v>35</v>
      </c>
      <c r="G31" s="6">
        <v>105.5</v>
      </c>
      <c r="H31" s="4">
        <f t="shared" si="4"/>
        <v>481.87</v>
      </c>
      <c r="I31" s="6">
        <v>172</v>
      </c>
      <c r="J31" s="4">
        <f t="shared" si="5"/>
        <v>653.87</v>
      </c>
      <c r="K31" s="5">
        <f t="shared" si="6"/>
        <v>68.828421052631583</v>
      </c>
      <c r="L31" s="5">
        <f t="shared" si="7"/>
        <v>70.688648648648638</v>
      </c>
    </row>
    <row r="32" spans="1:12" x14ac:dyDescent="0.2">
      <c r="A32" s="1" t="s">
        <v>20</v>
      </c>
      <c r="B32" s="6">
        <v>90</v>
      </c>
      <c r="C32" s="6">
        <v>83.33</v>
      </c>
      <c r="D32" s="6">
        <v>150</v>
      </c>
      <c r="E32" s="6">
        <v>99.27</v>
      </c>
      <c r="F32" s="6">
        <v>83</v>
      </c>
      <c r="G32" s="6">
        <v>132.5</v>
      </c>
      <c r="H32" s="4">
        <f t="shared" si="4"/>
        <v>638.09999999999991</v>
      </c>
      <c r="I32" s="6">
        <v>284</v>
      </c>
      <c r="J32" s="4">
        <f t="shared" si="5"/>
        <v>922.09999999999991</v>
      </c>
      <c r="K32" s="5">
        <f t="shared" si="6"/>
        <v>97.063157894736833</v>
      </c>
      <c r="L32" s="5">
        <f t="shared" si="7"/>
        <v>99.686486486486487</v>
      </c>
    </row>
    <row r="33" spans="1:12" x14ac:dyDescent="0.2">
      <c r="A33" s="1" t="s">
        <v>20</v>
      </c>
      <c r="B33" s="6">
        <v>80</v>
      </c>
      <c r="C33" s="6">
        <v>70</v>
      </c>
      <c r="D33" s="6">
        <v>90</v>
      </c>
      <c r="E33" s="6">
        <v>88.8</v>
      </c>
      <c r="F33" s="6">
        <v>78</v>
      </c>
      <c r="G33" s="6">
        <v>126</v>
      </c>
      <c r="H33" s="4">
        <f t="shared" si="4"/>
        <v>532.79999999999995</v>
      </c>
      <c r="I33" s="6">
        <v>218</v>
      </c>
      <c r="J33" s="4">
        <f t="shared" si="5"/>
        <v>750.8</v>
      </c>
      <c r="K33" s="5">
        <f t="shared" si="6"/>
        <v>79.031578947368416</v>
      </c>
      <c r="L33" s="5">
        <f t="shared" si="7"/>
        <v>81.167567567567573</v>
      </c>
    </row>
    <row r="34" spans="1:12" x14ac:dyDescent="0.2">
      <c r="A34" s="1" t="s">
        <v>20</v>
      </c>
      <c r="B34" s="6">
        <v>90</v>
      </c>
      <c r="C34" s="6">
        <v>97</v>
      </c>
      <c r="D34" s="6">
        <v>147.5</v>
      </c>
      <c r="E34" s="6">
        <v>99.79</v>
      </c>
      <c r="F34" s="6">
        <v>100</v>
      </c>
      <c r="G34" s="6">
        <v>128</v>
      </c>
      <c r="H34" s="4">
        <f t="shared" si="4"/>
        <v>662.29</v>
      </c>
      <c r="I34" s="6">
        <v>289</v>
      </c>
      <c r="J34" s="4">
        <f t="shared" si="5"/>
        <v>951.29</v>
      </c>
      <c r="K34" s="5">
        <f t="shared" si="6"/>
        <v>100.1357894736842</v>
      </c>
      <c r="L34" s="5">
        <f t="shared" si="7"/>
        <v>102.84216216216215</v>
      </c>
    </row>
    <row r="35" spans="1:12" x14ac:dyDescent="0.2">
      <c r="A35" s="1" t="s">
        <v>20</v>
      </c>
      <c r="B35" s="6">
        <v>75</v>
      </c>
      <c r="C35" s="6">
        <v>72.5</v>
      </c>
      <c r="D35" s="6">
        <v>150</v>
      </c>
      <c r="E35" s="6">
        <v>88.38</v>
      </c>
      <c r="F35" s="6">
        <v>40</v>
      </c>
      <c r="G35" s="6">
        <v>90</v>
      </c>
      <c r="H35" s="4">
        <f t="shared" si="4"/>
        <v>515.88</v>
      </c>
      <c r="I35" s="6">
        <v>300</v>
      </c>
      <c r="J35" s="4">
        <f t="shared" si="5"/>
        <v>815.88</v>
      </c>
      <c r="K35" s="5">
        <f t="shared" si="6"/>
        <v>85.882105263157897</v>
      </c>
      <c r="L35" s="5">
        <f t="shared" si="7"/>
        <v>88.20324324324325</v>
      </c>
    </row>
    <row r="36" spans="1:12" x14ac:dyDescent="0.2">
      <c r="A36" s="1" t="s">
        <v>20</v>
      </c>
      <c r="B36" s="6">
        <v>80</v>
      </c>
      <c r="C36" s="6">
        <v>85</v>
      </c>
      <c r="D36" s="6">
        <v>130</v>
      </c>
      <c r="E36" s="6">
        <v>89.47</v>
      </c>
      <c r="F36" s="6">
        <v>30</v>
      </c>
      <c r="G36" s="6">
        <v>70</v>
      </c>
      <c r="H36" s="4">
        <f t="shared" si="4"/>
        <v>484.47</v>
      </c>
      <c r="I36" s="6">
        <v>291</v>
      </c>
      <c r="J36" s="4">
        <f t="shared" si="5"/>
        <v>775.47</v>
      </c>
      <c r="K36" s="5">
        <f t="shared" si="6"/>
        <v>81.62842105263158</v>
      </c>
      <c r="L36" s="5">
        <f t="shared" si="7"/>
        <v>83.834594594594606</v>
      </c>
    </row>
    <row r="37" spans="1:12" x14ac:dyDescent="0.2">
      <c r="A37" s="1" t="s">
        <v>20</v>
      </c>
      <c r="B37" s="6">
        <v>90</v>
      </c>
      <c r="C37" s="6">
        <v>78</v>
      </c>
      <c r="D37" s="6">
        <v>85</v>
      </c>
      <c r="E37" s="6">
        <v>10</v>
      </c>
      <c r="F37" s="6">
        <v>50</v>
      </c>
      <c r="G37" s="6">
        <v>99.5</v>
      </c>
      <c r="H37" s="4">
        <f t="shared" si="4"/>
        <v>412.5</v>
      </c>
      <c r="I37" s="6">
        <v>288</v>
      </c>
      <c r="J37" s="4">
        <f t="shared" si="5"/>
        <v>700.5</v>
      </c>
      <c r="K37" s="5">
        <f t="shared" si="6"/>
        <v>73.73684210526315</v>
      </c>
      <c r="L37" s="5">
        <f t="shared" si="7"/>
        <v>75.72972972972974</v>
      </c>
    </row>
    <row r="38" spans="1:12" x14ac:dyDescent="0.2">
      <c r="A38" s="1" t="s">
        <v>20</v>
      </c>
      <c r="B38" s="6">
        <v>85</v>
      </c>
      <c r="C38" s="6">
        <v>83.33</v>
      </c>
      <c r="D38" s="6">
        <v>130</v>
      </c>
      <c r="E38" s="6">
        <v>97.5</v>
      </c>
      <c r="F38" s="6">
        <v>67</v>
      </c>
      <c r="G38" s="6">
        <v>127</v>
      </c>
      <c r="H38" s="4">
        <f t="shared" si="4"/>
        <v>589.82999999999993</v>
      </c>
      <c r="I38" s="6">
        <v>277</v>
      </c>
      <c r="J38" s="4">
        <f t="shared" si="5"/>
        <v>866.82999999999993</v>
      </c>
      <c r="K38" s="5">
        <f t="shared" si="6"/>
        <v>91.245263157894726</v>
      </c>
      <c r="L38" s="5">
        <f t="shared" si="7"/>
        <v>93.71135135135134</v>
      </c>
    </row>
    <row r="39" spans="1:12" x14ac:dyDescent="0.2">
      <c r="A39" s="1" t="s">
        <v>20</v>
      </c>
      <c r="B39" s="6">
        <v>90</v>
      </c>
      <c r="C39" s="6">
        <v>88.33</v>
      </c>
      <c r="D39" s="6">
        <v>147.5</v>
      </c>
      <c r="E39" s="6">
        <v>99.67</v>
      </c>
      <c r="F39" s="6">
        <v>35</v>
      </c>
      <c r="G39" s="6">
        <v>109</v>
      </c>
      <c r="H39" s="4">
        <f t="shared" si="4"/>
        <v>569.5</v>
      </c>
      <c r="I39" s="6">
        <v>283</v>
      </c>
      <c r="J39" s="4">
        <f t="shared" si="5"/>
        <v>852.5</v>
      </c>
      <c r="K39" s="5">
        <f t="shared" si="6"/>
        <v>89.736842105263165</v>
      </c>
      <c r="L39" s="5">
        <f t="shared" si="7"/>
        <v>92.162162162162161</v>
      </c>
    </row>
    <row r="40" spans="1:12" x14ac:dyDescent="0.2">
      <c r="A40" s="1" t="s">
        <v>20</v>
      </c>
      <c r="B40" s="6">
        <v>90</v>
      </c>
      <c r="C40" s="6">
        <v>67</v>
      </c>
      <c r="D40" s="6">
        <v>85</v>
      </c>
      <c r="E40" s="6">
        <v>79.63</v>
      </c>
      <c r="F40" s="6">
        <v>35</v>
      </c>
      <c r="G40" s="6">
        <v>79</v>
      </c>
      <c r="H40" s="4">
        <f t="shared" si="4"/>
        <v>435.63</v>
      </c>
      <c r="I40" s="6">
        <v>270</v>
      </c>
      <c r="J40" s="4">
        <f t="shared" si="5"/>
        <v>705.63</v>
      </c>
      <c r="K40" s="5">
        <f t="shared" si="6"/>
        <v>74.276842105263157</v>
      </c>
      <c r="L40" s="5">
        <f t="shared" si="7"/>
        <v>76.284324324324331</v>
      </c>
    </row>
    <row r="41" spans="1:12" x14ac:dyDescent="0.2">
      <c r="A41" s="1" t="s">
        <v>20</v>
      </c>
      <c r="B41" s="6">
        <v>94</v>
      </c>
      <c r="C41" s="6">
        <v>98</v>
      </c>
      <c r="D41" s="6">
        <v>125</v>
      </c>
      <c r="E41" s="6">
        <v>89.16</v>
      </c>
      <c r="F41" s="6">
        <v>60</v>
      </c>
      <c r="G41" s="6">
        <v>127</v>
      </c>
      <c r="H41" s="4">
        <f t="shared" si="4"/>
        <v>593.16</v>
      </c>
      <c r="I41" s="6">
        <v>288</v>
      </c>
      <c r="J41" s="4">
        <f t="shared" si="5"/>
        <v>881.16</v>
      </c>
      <c r="K41" s="5">
        <f t="shared" si="6"/>
        <v>92.753684210526316</v>
      </c>
      <c r="L41" s="5">
        <f t="shared" si="7"/>
        <v>95.260540540540546</v>
      </c>
    </row>
    <row r="42" spans="1:12" x14ac:dyDescent="0.2">
      <c r="A42" s="1" t="s">
        <v>20</v>
      </c>
      <c r="B42" s="6">
        <v>80</v>
      </c>
      <c r="C42" s="6">
        <v>88</v>
      </c>
      <c r="D42" s="6">
        <v>120</v>
      </c>
      <c r="E42" s="6">
        <v>80.36</v>
      </c>
      <c r="F42" s="6">
        <v>25</v>
      </c>
      <c r="G42" s="6">
        <v>105</v>
      </c>
      <c r="H42" s="4">
        <f t="shared" si="4"/>
        <v>498.36</v>
      </c>
      <c r="I42" s="6">
        <v>300</v>
      </c>
      <c r="J42" s="4">
        <f t="shared" si="5"/>
        <v>798.36</v>
      </c>
      <c r="K42" s="5">
        <f t="shared" si="6"/>
        <v>84.037894736842105</v>
      </c>
      <c r="L42" s="5">
        <f t="shared" si="7"/>
        <v>86.309189189189198</v>
      </c>
    </row>
    <row r="43" spans="1:12" x14ac:dyDescent="0.2">
      <c r="A43" s="1" t="s">
        <v>20</v>
      </c>
      <c r="B43" s="6">
        <v>75</v>
      </c>
      <c r="C43" s="6">
        <v>76.83</v>
      </c>
      <c r="D43" s="6">
        <v>107.5</v>
      </c>
      <c r="E43" s="6">
        <v>89.42</v>
      </c>
      <c r="F43" s="6">
        <v>20</v>
      </c>
      <c r="G43" s="6">
        <v>98</v>
      </c>
      <c r="H43" s="4">
        <f t="shared" si="4"/>
        <v>466.75</v>
      </c>
      <c r="I43" s="6">
        <v>290</v>
      </c>
      <c r="J43" s="4">
        <f t="shared" ref="J43:J54" si="8">H43+I43</f>
        <v>756.75</v>
      </c>
      <c r="K43" s="5">
        <f t="shared" ref="K43:K54" si="9">(J43/950)*100</f>
        <v>79.65789473684211</v>
      </c>
      <c r="L43" s="5">
        <f t="shared" ref="L43:L54" si="10">(J43/925)*100</f>
        <v>81.810810810810807</v>
      </c>
    </row>
    <row r="44" spans="1:12" x14ac:dyDescent="0.2">
      <c r="A44" s="1" t="s">
        <v>20</v>
      </c>
      <c r="B44" s="6">
        <v>95</v>
      </c>
      <c r="C44" s="6">
        <v>85.83</v>
      </c>
      <c r="D44" s="6">
        <v>122.5</v>
      </c>
      <c r="E44" s="6">
        <v>99.63</v>
      </c>
      <c r="F44" s="6">
        <v>75</v>
      </c>
      <c r="G44" s="6">
        <v>109</v>
      </c>
      <c r="H44" s="4">
        <f t="shared" si="4"/>
        <v>586.96</v>
      </c>
      <c r="I44" s="6">
        <v>300</v>
      </c>
      <c r="J44" s="4">
        <f t="shared" si="8"/>
        <v>886.96</v>
      </c>
      <c r="K44" s="5">
        <f t="shared" si="9"/>
        <v>93.364210526315787</v>
      </c>
      <c r="L44" s="5">
        <f t="shared" si="10"/>
        <v>95.887567567567572</v>
      </c>
    </row>
    <row r="45" spans="1:12" x14ac:dyDescent="0.2">
      <c r="A45" s="1" t="s">
        <v>20</v>
      </c>
      <c r="B45" s="6">
        <v>90</v>
      </c>
      <c r="C45" s="6">
        <v>98</v>
      </c>
      <c r="D45" s="6">
        <v>145</v>
      </c>
      <c r="E45" s="6">
        <v>97.91</v>
      </c>
      <c r="F45" s="6">
        <v>95</v>
      </c>
      <c r="G45" s="6">
        <v>115</v>
      </c>
      <c r="H45" s="4">
        <f t="shared" si="4"/>
        <v>640.91</v>
      </c>
      <c r="I45" s="6">
        <v>300</v>
      </c>
      <c r="J45" s="4">
        <f t="shared" si="8"/>
        <v>940.91</v>
      </c>
      <c r="K45" s="5">
        <f t="shared" si="9"/>
        <v>99.043157894736851</v>
      </c>
      <c r="L45" s="5">
        <f t="shared" si="10"/>
        <v>101.71999999999998</v>
      </c>
    </row>
    <row r="46" spans="1:12" x14ac:dyDescent="0.2">
      <c r="A46" s="1" t="s">
        <v>20</v>
      </c>
      <c r="B46" s="6">
        <v>62</v>
      </c>
      <c r="C46" s="6">
        <v>70.83</v>
      </c>
      <c r="D46" s="6">
        <v>130</v>
      </c>
      <c r="E46" s="6">
        <v>77.7</v>
      </c>
      <c r="F46" s="6"/>
      <c r="G46" s="6">
        <v>61</v>
      </c>
      <c r="H46" s="4">
        <f t="shared" si="4"/>
        <v>401.53</v>
      </c>
      <c r="I46" s="6">
        <v>300</v>
      </c>
      <c r="J46" s="4">
        <f t="shared" si="8"/>
        <v>701.53</v>
      </c>
      <c r="K46" s="5">
        <f t="shared" si="9"/>
        <v>73.845263157894735</v>
      </c>
      <c r="L46" s="5">
        <f t="shared" si="10"/>
        <v>75.841081081081072</v>
      </c>
    </row>
    <row r="47" spans="1:12" x14ac:dyDescent="0.2">
      <c r="A47" s="1" t="s">
        <v>20</v>
      </c>
      <c r="B47" s="6">
        <v>85</v>
      </c>
      <c r="C47" s="6">
        <v>88.33</v>
      </c>
      <c r="D47" s="6">
        <v>150</v>
      </c>
      <c r="E47" s="6">
        <v>89.79</v>
      </c>
      <c r="F47" s="6">
        <v>70</v>
      </c>
      <c r="G47" s="6">
        <v>87</v>
      </c>
      <c r="H47" s="4">
        <f t="shared" si="4"/>
        <v>570.12</v>
      </c>
      <c r="I47" s="6">
        <v>300</v>
      </c>
      <c r="J47" s="4">
        <f t="shared" si="8"/>
        <v>870.12</v>
      </c>
      <c r="K47" s="5">
        <f t="shared" si="9"/>
        <v>91.591578947368419</v>
      </c>
      <c r="L47" s="5">
        <f t="shared" si="10"/>
        <v>94.067027027027024</v>
      </c>
    </row>
    <row r="48" spans="1:12" x14ac:dyDescent="0.2">
      <c r="A48" s="1" t="s">
        <v>20</v>
      </c>
      <c r="B48" s="6"/>
      <c r="C48" s="6">
        <v>75.33</v>
      </c>
      <c r="D48" s="6">
        <v>120</v>
      </c>
      <c r="E48" s="6">
        <v>50</v>
      </c>
      <c r="F48" s="6"/>
      <c r="G48" s="6"/>
      <c r="H48" s="4">
        <f t="shared" si="4"/>
        <v>245.32999999999998</v>
      </c>
      <c r="I48" s="6"/>
      <c r="J48" s="4">
        <f t="shared" si="8"/>
        <v>245.32999999999998</v>
      </c>
      <c r="K48" s="5">
        <f t="shared" si="9"/>
        <v>25.824210526315788</v>
      </c>
      <c r="L48" s="5">
        <f t="shared" si="10"/>
        <v>26.522162162162161</v>
      </c>
    </row>
    <row r="49" spans="1:12" x14ac:dyDescent="0.2">
      <c r="A49" s="1" t="s">
        <v>20</v>
      </c>
      <c r="B49" s="6"/>
      <c r="C49" s="6">
        <v>80</v>
      </c>
      <c r="D49" s="6">
        <v>120</v>
      </c>
      <c r="E49" s="6">
        <v>65</v>
      </c>
      <c r="F49" s="6">
        <v>15</v>
      </c>
      <c r="G49" s="6"/>
      <c r="H49" s="4">
        <f t="shared" si="4"/>
        <v>280</v>
      </c>
      <c r="I49" s="6">
        <v>183</v>
      </c>
      <c r="J49" s="4">
        <f t="shared" si="8"/>
        <v>463</v>
      </c>
      <c r="K49" s="5">
        <f t="shared" si="9"/>
        <v>48.736842105263158</v>
      </c>
      <c r="L49" s="5">
        <f t="shared" si="10"/>
        <v>50.054054054054056</v>
      </c>
    </row>
    <row r="50" spans="1:12" x14ac:dyDescent="0.2">
      <c r="A50" s="1" t="s">
        <v>20</v>
      </c>
      <c r="B50" s="4">
        <v>80</v>
      </c>
      <c r="C50" s="4">
        <v>78.5</v>
      </c>
      <c r="D50" s="4">
        <v>100</v>
      </c>
      <c r="E50" s="4">
        <v>97.81</v>
      </c>
      <c r="F50" s="4">
        <v>20</v>
      </c>
      <c r="G50" s="4">
        <v>91</v>
      </c>
      <c r="H50" s="4">
        <f t="shared" ref="H50:H70" si="11">SUM(B50:G50)</f>
        <v>467.31</v>
      </c>
      <c r="I50" s="4">
        <v>290</v>
      </c>
      <c r="J50" s="4">
        <f t="shared" si="8"/>
        <v>757.31</v>
      </c>
      <c r="K50" s="5">
        <f t="shared" si="9"/>
        <v>79.716842105263154</v>
      </c>
      <c r="L50" s="5">
        <f t="shared" si="10"/>
        <v>81.871351351351336</v>
      </c>
    </row>
    <row r="51" spans="1:12" x14ac:dyDescent="0.2">
      <c r="A51" s="1" t="s">
        <v>20</v>
      </c>
      <c r="B51" s="4">
        <v>95</v>
      </c>
      <c r="C51" s="4">
        <v>93.33</v>
      </c>
      <c r="D51" s="4">
        <v>137.5</v>
      </c>
      <c r="E51" s="4">
        <v>99.37</v>
      </c>
      <c r="F51" s="4">
        <v>58</v>
      </c>
      <c r="G51" s="4">
        <v>126</v>
      </c>
      <c r="H51" s="4">
        <f t="shared" si="11"/>
        <v>609.20000000000005</v>
      </c>
      <c r="I51" s="4">
        <v>257</v>
      </c>
      <c r="J51" s="4">
        <f t="shared" si="8"/>
        <v>866.2</v>
      </c>
      <c r="K51" s="5">
        <f t="shared" si="9"/>
        <v>91.178947368421063</v>
      </c>
      <c r="L51" s="5">
        <f t="shared" si="10"/>
        <v>93.643243243243248</v>
      </c>
    </row>
    <row r="52" spans="1:12" x14ac:dyDescent="0.2">
      <c r="A52" s="1" t="s">
        <v>20</v>
      </c>
      <c r="B52" s="4">
        <v>85</v>
      </c>
      <c r="C52" s="4">
        <v>84.33</v>
      </c>
      <c r="D52" s="4">
        <v>90</v>
      </c>
      <c r="E52" s="4">
        <v>79.63</v>
      </c>
      <c r="F52" s="4">
        <v>45</v>
      </c>
      <c r="G52" s="4">
        <v>96</v>
      </c>
      <c r="H52" s="4">
        <f t="shared" si="11"/>
        <v>479.96</v>
      </c>
      <c r="I52" s="4">
        <v>275</v>
      </c>
      <c r="J52" s="4">
        <f t="shared" si="8"/>
        <v>754.96</v>
      </c>
      <c r="K52" s="5">
        <f t="shared" si="9"/>
        <v>79.469473684210527</v>
      </c>
      <c r="L52" s="5">
        <f t="shared" si="10"/>
        <v>81.617297297297299</v>
      </c>
    </row>
    <row r="53" spans="1:12" x14ac:dyDescent="0.2">
      <c r="A53" s="1" t="s">
        <v>20</v>
      </c>
      <c r="B53" s="4">
        <v>85</v>
      </c>
      <c r="C53" s="4">
        <v>78.33</v>
      </c>
      <c r="D53" s="4">
        <v>115.5</v>
      </c>
      <c r="E53" s="4">
        <v>89.84</v>
      </c>
      <c r="F53" s="4">
        <v>60</v>
      </c>
      <c r="G53" s="4">
        <v>119</v>
      </c>
      <c r="H53" s="4">
        <f t="shared" si="11"/>
        <v>547.66999999999996</v>
      </c>
      <c r="I53" s="4">
        <v>230</v>
      </c>
      <c r="J53" s="4">
        <f t="shared" si="8"/>
        <v>777.67</v>
      </c>
      <c r="K53" s="5">
        <f t="shared" si="9"/>
        <v>81.86</v>
      </c>
      <c r="L53" s="5">
        <f t="shared" si="10"/>
        <v>84.072432432432436</v>
      </c>
    </row>
    <row r="54" spans="1:12" x14ac:dyDescent="0.2">
      <c r="A54" s="1" t="s">
        <v>20</v>
      </c>
      <c r="B54" s="4"/>
      <c r="C54" s="4">
        <v>85</v>
      </c>
      <c r="D54" s="4">
        <v>100</v>
      </c>
      <c r="E54" s="4"/>
      <c r="F54" s="4"/>
      <c r="G54" s="4"/>
      <c r="H54" s="4">
        <f t="shared" si="11"/>
        <v>185</v>
      </c>
      <c r="I54" s="4"/>
      <c r="J54" s="4">
        <f t="shared" si="8"/>
        <v>185</v>
      </c>
      <c r="K54" s="5">
        <f t="shared" si="9"/>
        <v>19.473684210526315</v>
      </c>
      <c r="L54" s="5">
        <f t="shared" si="10"/>
        <v>20</v>
      </c>
    </row>
    <row r="55" spans="1:12" x14ac:dyDescent="0.2">
      <c r="A55" s="1" t="s">
        <v>20</v>
      </c>
      <c r="B55" s="4">
        <v>65</v>
      </c>
      <c r="C55" s="4">
        <v>96.33</v>
      </c>
      <c r="D55" s="4">
        <v>82.5</v>
      </c>
      <c r="E55" s="4">
        <v>89.53</v>
      </c>
      <c r="F55" s="4">
        <v>90</v>
      </c>
      <c r="G55" s="4">
        <v>123</v>
      </c>
      <c r="H55" s="4">
        <f t="shared" si="11"/>
        <v>546.36</v>
      </c>
      <c r="I55" s="4">
        <v>279</v>
      </c>
      <c r="J55" s="4">
        <f t="shared" ref="J55:J70" si="12">H55+I55</f>
        <v>825.36</v>
      </c>
      <c r="K55" s="5">
        <f t="shared" ref="K55:K70" si="13">(J55/950)*100</f>
        <v>86.88</v>
      </c>
      <c r="L55" s="5">
        <f t="shared" ref="L55:L70" si="14">(J55/925)*100</f>
        <v>89.228108108108103</v>
      </c>
    </row>
    <row r="56" spans="1:12" x14ac:dyDescent="0.2">
      <c r="A56" s="1" t="s">
        <v>20</v>
      </c>
      <c r="B56" s="4">
        <v>90</v>
      </c>
      <c r="C56" s="4">
        <v>76</v>
      </c>
      <c r="D56" s="4">
        <v>150</v>
      </c>
      <c r="E56" s="4">
        <v>99.63</v>
      </c>
      <c r="F56" s="4">
        <v>82</v>
      </c>
      <c r="G56" s="4">
        <v>82</v>
      </c>
      <c r="H56" s="4">
        <f t="shared" si="11"/>
        <v>579.63</v>
      </c>
      <c r="I56" s="4">
        <v>253</v>
      </c>
      <c r="J56" s="4">
        <f t="shared" si="12"/>
        <v>832.63</v>
      </c>
      <c r="K56" s="5">
        <f t="shared" si="13"/>
        <v>87.645263157894732</v>
      </c>
      <c r="L56" s="5">
        <f t="shared" si="14"/>
        <v>90.014054054054043</v>
      </c>
    </row>
    <row r="57" spans="1:12" x14ac:dyDescent="0.2">
      <c r="A57" s="1" t="s">
        <v>20</v>
      </c>
      <c r="B57" s="4">
        <v>60</v>
      </c>
      <c r="C57" s="4">
        <v>50.83</v>
      </c>
      <c r="D57" s="4">
        <v>90</v>
      </c>
      <c r="E57" s="4">
        <v>69.42</v>
      </c>
      <c r="F57" s="4">
        <v>30</v>
      </c>
      <c r="G57" s="4">
        <v>36</v>
      </c>
      <c r="H57" s="4">
        <f t="shared" si="11"/>
        <v>336.25</v>
      </c>
      <c r="I57" s="4">
        <v>290</v>
      </c>
      <c r="J57" s="4">
        <f t="shared" si="12"/>
        <v>626.25</v>
      </c>
      <c r="K57" s="5">
        <f t="shared" si="13"/>
        <v>65.921052631578945</v>
      </c>
      <c r="L57" s="5">
        <f t="shared" si="14"/>
        <v>67.702702702702695</v>
      </c>
    </row>
    <row r="58" spans="1:12" x14ac:dyDescent="0.2">
      <c r="A58" s="1" t="s">
        <v>20</v>
      </c>
      <c r="B58" s="4">
        <v>70</v>
      </c>
      <c r="C58" s="4">
        <v>88.5</v>
      </c>
      <c r="D58" s="4">
        <v>120</v>
      </c>
      <c r="E58" s="4">
        <v>71.56</v>
      </c>
      <c r="F58" s="4">
        <v>60</v>
      </c>
      <c r="G58" s="4">
        <v>122</v>
      </c>
      <c r="H58" s="4">
        <f t="shared" si="11"/>
        <v>532.05999999999995</v>
      </c>
      <c r="I58" s="4">
        <v>290</v>
      </c>
      <c r="J58" s="4">
        <f t="shared" si="12"/>
        <v>822.06</v>
      </c>
      <c r="K58" s="5">
        <f t="shared" si="13"/>
        <v>86.53263157894736</v>
      </c>
      <c r="L58" s="5">
        <f t="shared" si="14"/>
        <v>88.87135135135135</v>
      </c>
    </row>
    <row r="59" spans="1:12" x14ac:dyDescent="0.2">
      <c r="A59" s="1" t="s">
        <v>20</v>
      </c>
      <c r="B59" s="4">
        <v>100</v>
      </c>
      <c r="C59" s="4">
        <v>95.33</v>
      </c>
      <c r="D59" s="4">
        <v>147.5</v>
      </c>
      <c r="E59" s="4">
        <v>98.95</v>
      </c>
      <c r="F59" s="4">
        <v>104</v>
      </c>
      <c r="G59" s="4">
        <v>135</v>
      </c>
      <c r="H59" s="4">
        <f t="shared" si="11"/>
        <v>680.78</v>
      </c>
      <c r="I59" s="4">
        <v>277.5</v>
      </c>
      <c r="J59" s="4">
        <f t="shared" si="12"/>
        <v>958.28</v>
      </c>
      <c r="K59" s="5">
        <f t="shared" si="13"/>
        <v>100.87157894736842</v>
      </c>
      <c r="L59" s="5">
        <f t="shared" si="14"/>
        <v>103.59783783783783</v>
      </c>
    </row>
    <row r="60" spans="1:12" x14ac:dyDescent="0.2">
      <c r="A60" s="1" t="s">
        <v>20</v>
      </c>
      <c r="B60" s="4">
        <v>80</v>
      </c>
      <c r="C60" s="4">
        <v>84.5</v>
      </c>
      <c r="D60" s="4">
        <v>150</v>
      </c>
      <c r="E60" s="4">
        <v>85.41</v>
      </c>
      <c r="F60" s="4">
        <v>55</v>
      </c>
      <c r="G60" s="4">
        <v>114.5</v>
      </c>
      <c r="H60" s="4">
        <f t="shared" si="11"/>
        <v>569.41</v>
      </c>
      <c r="I60" s="4">
        <v>210</v>
      </c>
      <c r="J60" s="4">
        <f t="shared" si="12"/>
        <v>779.41</v>
      </c>
      <c r="K60" s="5">
        <f t="shared" si="13"/>
        <v>82.043157894736837</v>
      </c>
      <c r="L60" s="5">
        <f t="shared" si="14"/>
        <v>84.260540540540546</v>
      </c>
    </row>
    <row r="61" spans="1:12" x14ac:dyDescent="0.2">
      <c r="A61" s="1" t="s">
        <v>20</v>
      </c>
      <c r="B61" s="4">
        <v>80</v>
      </c>
      <c r="C61" s="4">
        <v>78</v>
      </c>
      <c r="D61" s="4">
        <v>137.5</v>
      </c>
      <c r="E61" s="4">
        <v>79.209999999999994</v>
      </c>
      <c r="F61" s="4">
        <v>70</v>
      </c>
      <c r="G61" s="4">
        <v>125.25</v>
      </c>
      <c r="H61" s="4">
        <f t="shared" si="11"/>
        <v>569.96</v>
      </c>
      <c r="I61" s="4">
        <v>285</v>
      </c>
      <c r="J61" s="4">
        <f t="shared" si="12"/>
        <v>854.96</v>
      </c>
      <c r="K61" s="5">
        <f t="shared" si="13"/>
        <v>89.995789473684212</v>
      </c>
      <c r="L61" s="5">
        <f t="shared" si="14"/>
        <v>92.428108108108106</v>
      </c>
    </row>
    <row r="62" spans="1:12" x14ac:dyDescent="0.2">
      <c r="A62" s="1" t="s">
        <v>20</v>
      </c>
      <c r="B62" s="4">
        <v>94</v>
      </c>
      <c r="C62" s="4">
        <v>82.5</v>
      </c>
      <c r="D62" s="4">
        <v>150</v>
      </c>
      <c r="E62" s="4">
        <v>99.37</v>
      </c>
      <c r="F62" s="4">
        <v>65</v>
      </c>
      <c r="G62" s="4">
        <v>106</v>
      </c>
      <c r="H62" s="4">
        <f t="shared" si="11"/>
        <v>596.87</v>
      </c>
      <c r="I62" s="4">
        <v>240</v>
      </c>
      <c r="J62" s="4">
        <f t="shared" si="12"/>
        <v>836.87</v>
      </c>
      <c r="K62" s="5">
        <f t="shared" si="13"/>
        <v>88.091578947368419</v>
      </c>
      <c r="L62" s="5">
        <f t="shared" si="14"/>
        <v>90.472432432432441</v>
      </c>
    </row>
    <row r="63" spans="1:12" x14ac:dyDescent="0.2">
      <c r="A63" s="1" t="s">
        <v>20</v>
      </c>
      <c r="B63" s="4"/>
      <c r="C63" s="4">
        <v>88</v>
      </c>
      <c r="D63" s="4">
        <v>110</v>
      </c>
      <c r="E63" s="4">
        <v>71.66</v>
      </c>
      <c r="F63" s="4"/>
      <c r="G63" s="4">
        <v>65</v>
      </c>
      <c r="H63" s="4">
        <f t="shared" si="11"/>
        <v>334.65999999999997</v>
      </c>
      <c r="I63" s="4">
        <v>207.7</v>
      </c>
      <c r="J63" s="4">
        <f t="shared" si="12"/>
        <v>542.3599999999999</v>
      </c>
      <c r="K63" s="5">
        <f t="shared" si="13"/>
        <v>57.090526315789461</v>
      </c>
      <c r="L63" s="5">
        <f t="shared" si="14"/>
        <v>58.633513513513499</v>
      </c>
    </row>
    <row r="64" spans="1:12" x14ac:dyDescent="0.2">
      <c r="A64" s="1" t="s">
        <v>20</v>
      </c>
      <c r="B64" s="4">
        <v>65</v>
      </c>
      <c r="C64" s="4">
        <v>93.83</v>
      </c>
      <c r="D64" s="4">
        <v>120</v>
      </c>
      <c r="E64" s="4">
        <v>89.63</v>
      </c>
      <c r="F64" s="4">
        <v>120</v>
      </c>
      <c r="G64" s="4">
        <v>122</v>
      </c>
      <c r="H64" s="4">
        <f t="shared" si="11"/>
        <v>610.46</v>
      </c>
      <c r="I64" s="4">
        <v>251</v>
      </c>
      <c r="J64" s="4">
        <f t="shared" si="12"/>
        <v>861.46</v>
      </c>
      <c r="K64" s="5">
        <f t="shared" si="13"/>
        <v>90.68</v>
      </c>
      <c r="L64" s="5">
        <f t="shared" si="14"/>
        <v>93.130810810810814</v>
      </c>
    </row>
    <row r="65" spans="1:12" x14ac:dyDescent="0.2">
      <c r="A65" s="1" t="s">
        <v>20</v>
      </c>
      <c r="B65" s="4">
        <v>80</v>
      </c>
      <c r="C65" s="4">
        <v>98.33</v>
      </c>
      <c r="D65" s="4">
        <v>90</v>
      </c>
      <c r="E65" s="4">
        <v>37.340000000000003</v>
      </c>
      <c r="F65" s="4">
        <v>45</v>
      </c>
      <c r="G65" s="4">
        <v>66.5</v>
      </c>
      <c r="H65" s="4">
        <f t="shared" si="11"/>
        <v>417.16999999999996</v>
      </c>
      <c r="I65" s="4">
        <v>290</v>
      </c>
      <c r="J65" s="4">
        <f t="shared" si="12"/>
        <v>707.17</v>
      </c>
      <c r="K65" s="5">
        <f t="shared" si="13"/>
        <v>74.438947368421054</v>
      </c>
      <c r="L65" s="5">
        <f t="shared" si="14"/>
        <v>76.450810810810808</v>
      </c>
    </row>
    <row r="66" spans="1:12" x14ac:dyDescent="0.2">
      <c r="A66" s="1" t="s">
        <v>20</v>
      </c>
      <c r="B66" s="4">
        <v>60</v>
      </c>
      <c r="C66" s="4">
        <v>78.33</v>
      </c>
      <c r="D66" s="4">
        <v>70</v>
      </c>
      <c r="E66" s="4">
        <v>77.760000000000005</v>
      </c>
      <c r="F66" s="4">
        <v>95</v>
      </c>
      <c r="G66" s="4">
        <v>115</v>
      </c>
      <c r="H66" s="4">
        <f t="shared" si="11"/>
        <v>496.09</v>
      </c>
      <c r="I66" s="4">
        <v>287</v>
      </c>
      <c r="J66" s="4">
        <f t="shared" si="12"/>
        <v>783.08999999999992</v>
      </c>
      <c r="K66" s="5">
        <f t="shared" si="13"/>
        <v>82.430526315789464</v>
      </c>
      <c r="L66" s="5">
        <f t="shared" si="14"/>
        <v>84.658378378378373</v>
      </c>
    </row>
    <row r="67" spans="1:12" x14ac:dyDescent="0.2">
      <c r="A67" s="1" t="s">
        <v>20</v>
      </c>
      <c r="B67" s="4">
        <v>90</v>
      </c>
      <c r="C67" s="4">
        <v>90</v>
      </c>
      <c r="D67" s="4">
        <v>120</v>
      </c>
      <c r="E67" s="4">
        <v>99.47</v>
      </c>
      <c r="F67" s="4">
        <v>73</v>
      </c>
      <c r="G67" s="4">
        <v>110</v>
      </c>
      <c r="H67" s="4">
        <f t="shared" si="11"/>
        <v>582.47</v>
      </c>
      <c r="I67" s="4">
        <v>270.5</v>
      </c>
      <c r="J67" s="4">
        <f t="shared" si="12"/>
        <v>852.97</v>
      </c>
      <c r="K67" s="5">
        <f t="shared" si="13"/>
        <v>89.78631578947369</v>
      </c>
      <c r="L67" s="5">
        <f t="shared" si="14"/>
        <v>92.212972972972977</v>
      </c>
    </row>
    <row r="68" spans="1:12" x14ac:dyDescent="0.2">
      <c r="A68" s="1" t="s">
        <v>20</v>
      </c>
      <c r="B68" s="4">
        <v>80</v>
      </c>
      <c r="C68" s="4">
        <v>68.33</v>
      </c>
      <c r="D68" s="4">
        <v>150</v>
      </c>
      <c r="E68" s="4">
        <v>78.75</v>
      </c>
      <c r="F68" s="4">
        <v>100</v>
      </c>
      <c r="G68" s="4">
        <v>96</v>
      </c>
      <c r="H68" s="4">
        <f t="shared" si="11"/>
        <v>573.07999999999993</v>
      </c>
      <c r="I68" s="4">
        <v>277</v>
      </c>
      <c r="J68" s="4">
        <f t="shared" si="12"/>
        <v>850.07999999999993</v>
      </c>
      <c r="K68" s="5">
        <f t="shared" si="13"/>
        <v>89.482105263157891</v>
      </c>
      <c r="L68" s="5">
        <f t="shared" si="14"/>
        <v>91.900540540540533</v>
      </c>
    </row>
    <row r="69" spans="1:12" x14ac:dyDescent="0.2">
      <c r="A69" s="1" t="s">
        <v>20</v>
      </c>
      <c r="B69" s="4">
        <v>94</v>
      </c>
      <c r="C69" s="4">
        <v>78</v>
      </c>
      <c r="D69" s="4">
        <v>150</v>
      </c>
      <c r="E69" s="4">
        <v>99.84</v>
      </c>
      <c r="F69" s="4">
        <v>88</v>
      </c>
      <c r="G69" s="4">
        <v>117</v>
      </c>
      <c r="H69" s="4">
        <f t="shared" si="11"/>
        <v>626.84</v>
      </c>
      <c r="I69" s="4">
        <v>277</v>
      </c>
      <c r="J69" s="4">
        <f t="shared" si="12"/>
        <v>903.84</v>
      </c>
      <c r="K69" s="5">
        <f t="shared" si="13"/>
        <v>95.141052631578944</v>
      </c>
      <c r="L69" s="5">
        <f t="shared" si="14"/>
        <v>97.712432432432436</v>
      </c>
    </row>
    <row r="70" spans="1:12" x14ac:dyDescent="0.2">
      <c r="A70" s="1" t="s">
        <v>20</v>
      </c>
      <c r="B70" s="4">
        <v>80</v>
      </c>
      <c r="C70" s="4">
        <v>78</v>
      </c>
      <c r="D70" s="4">
        <v>127.5</v>
      </c>
      <c r="E70" s="4">
        <v>78.13</v>
      </c>
      <c r="F70" s="4">
        <v>30</v>
      </c>
      <c r="G70" s="4">
        <v>95</v>
      </c>
      <c r="H70" s="4">
        <f t="shared" si="11"/>
        <v>488.63</v>
      </c>
      <c r="I70" s="4">
        <v>210</v>
      </c>
      <c r="J70" s="4">
        <f t="shared" si="12"/>
        <v>698.63</v>
      </c>
      <c r="K70" s="5">
        <f t="shared" si="13"/>
        <v>73.539999999999992</v>
      </c>
      <c r="L70" s="5">
        <f t="shared" si="14"/>
        <v>75.527567567567573</v>
      </c>
    </row>
    <row r="71" spans="1:12" x14ac:dyDescent="0.2">
      <c r="A71" s="1" t="s">
        <v>20</v>
      </c>
      <c r="B71" s="4">
        <v>80</v>
      </c>
      <c r="C71" s="4">
        <v>87.83</v>
      </c>
      <c r="D71" s="4">
        <v>110</v>
      </c>
      <c r="E71" s="4">
        <v>69.680000000000007</v>
      </c>
      <c r="F71" s="4"/>
      <c r="G71" s="4">
        <v>62</v>
      </c>
      <c r="H71" s="4">
        <f t="shared" ref="H71:H84" si="15">SUM(B71:G71)</f>
        <v>409.51</v>
      </c>
      <c r="I71" s="4">
        <v>293</v>
      </c>
      <c r="J71" s="4">
        <f t="shared" ref="J71:J84" si="16">H71+I71</f>
        <v>702.51</v>
      </c>
      <c r="K71" s="5">
        <f t="shared" ref="K71:K84" si="17">(J71/950)*100</f>
        <v>73.948421052631574</v>
      </c>
      <c r="L71" s="5">
        <f t="shared" ref="L71:L84" si="18">(J71/925)*100</f>
        <v>75.947027027027019</v>
      </c>
    </row>
    <row r="72" spans="1:12" x14ac:dyDescent="0.2">
      <c r="A72" s="1" t="s">
        <v>20</v>
      </c>
      <c r="B72" s="4">
        <v>70</v>
      </c>
      <c r="C72" s="4">
        <v>86</v>
      </c>
      <c r="D72" s="4">
        <v>150</v>
      </c>
      <c r="E72" s="4">
        <v>88.48</v>
      </c>
      <c r="F72" s="4">
        <v>75</v>
      </c>
      <c r="G72" s="4">
        <v>107</v>
      </c>
      <c r="H72" s="4">
        <f t="shared" si="15"/>
        <v>576.48</v>
      </c>
      <c r="I72" s="4">
        <v>295</v>
      </c>
      <c r="J72" s="4">
        <f t="shared" si="16"/>
        <v>871.48</v>
      </c>
      <c r="K72" s="5">
        <f t="shared" si="17"/>
        <v>91.734736842105264</v>
      </c>
      <c r="L72" s="5">
        <f t="shared" si="18"/>
        <v>94.21405405405406</v>
      </c>
    </row>
    <row r="73" spans="1:12" x14ac:dyDescent="0.2">
      <c r="A73" s="1" t="s">
        <v>20</v>
      </c>
      <c r="B73" s="4">
        <v>95</v>
      </c>
      <c r="C73" s="4">
        <v>86.16</v>
      </c>
      <c r="D73" s="4">
        <v>150</v>
      </c>
      <c r="E73" s="4">
        <v>89.63</v>
      </c>
      <c r="F73" s="4">
        <v>100</v>
      </c>
      <c r="G73" s="4">
        <v>106.5</v>
      </c>
      <c r="H73" s="4">
        <f t="shared" si="15"/>
        <v>627.29</v>
      </c>
      <c r="I73" s="4">
        <v>293</v>
      </c>
      <c r="J73" s="4">
        <f t="shared" si="16"/>
        <v>920.29</v>
      </c>
      <c r="K73" s="5">
        <f t="shared" si="17"/>
        <v>96.872631578947363</v>
      </c>
      <c r="L73" s="5">
        <f t="shared" si="18"/>
        <v>99.4908108108108</v>
      </c>
    </row>
    <row r="74" spans="1:12" x14ac:dyDescent="0.2">
      <c r="A74" s="1" t="s">
        <v>20</v>
      </c>
      <c r="B74" s="4">
        <v>85</v>
      </c>
      <c r="C74" s="4">
        <v>67.33</v>
      </c>
      <c r="D74" s="4">
        <v>100</v>
      </c>
      <c r="E74" s="4">
        <v>98.75</v>
      </c>
      <c r="F74" s="4">
        <v>32.5</v>
      </c>
      <c r="G74" s="4">
        <v>86</v>
      </c>
      <c r="H74" s="4">
        <f t="shared" si="15"/>
        <v>469.58</v>
      </c>
      <c r="I74" s="4">
        <v>282</v>
      </c>
      <c r="J74" s="4">
        <f t="shared" si="16"/>
        <v>751.57999999999993</v>
      </c>
      <c r="K74" s="5">
        <f t="shared" si="17"/>
        <v>79.113684210526301</v>
      </c>
      <c r="L74" s="5">
        <f t="shared" si="18"/>
        <v>81.251891891891887</v>
      </c>
    </row>
    <row r="75" spans="1:12" x14ac:dyDescent="0.2">
      <c r="A75" s="1" t="s">
        <v>20</v>
      </c>
      <c r="B75" s="4">
        <v>62</v>
      </c>
      <c r="C75" s="4">
        <v>72.5</v>
      </c>
      <c r="D75" s="4">
        <v>75</v>
      </c>
      <c r="E75" s="4">
        <v>67.7</v>
      </c>
      <c r="F75" s="4">
        <v>80.5</v>
      </c>
      <c r="G75" s="4">
        <v>105</v>
      </c>
      <c r="H75" s="4">
        <f t="shared" si="15"/>
        <v>462.7</v>
      </c>
      <c r="I75" s="4">
        <v>290</v>
      </c>
      <c r="J75" s="4">
        <f t="shared" si="16"/>
        <v>752.7</v>
      </c>
      <c r="K75" s="5">
        <f t="shared" si="17"/>
        <v>79.231578947368433</v>
      </c>
      <c r="L75" s="5">
        <f t="shared" si="18"/>
        <v>81.372972972972974</v>
      </c>
    </row>
    <row r="76" spans="1:12" x14ac:dyDescent="0.2">
      <c r="A76" s="1" t="s">
        <v>20</v>
      </c>
      <c r="B76" s="4">
        <v>100</v>
      </c>
      <c r="C76" s="4">
        <v>98</v>
      </c>
      <c r="D76" s="4">
        <v>150</v>
      </c>
      <c r="E76" s="4">
        <v>99.84</v>
      </c>
      <c r="F76" s="4">
        <v>90</v>
      </c>
      <c r="G76" s="4">
        <v>134</v>
      </c>
      <c r="H76" s="4">
        <f t="shared" si="15"/>
        <v>671.84</v>
      </c>
      <c r="I76" s="4">
        <v>293</v>
      </c>
      <c r="J76" s="4">
        <f t="shared" si="16"/>
        <v>964.84</v>
      </c>
      <c r="K76" s="5">
        <f t="shared" si="17"/>
        <v>101.5621052631579</v>
      </c>
      <c r="L76" s="5">
        <f t="shared" si="18"/>
        <v>104.30702702702703</v>
      </c>
    </row>
    <row r="77" spans="1:12" x14ac:dyDescent="0.2">
      <c r="A77" s="1" t="s">
        <v>20</v>
      </c>
      <c r="B77" s="4">
        <v>55</v>
      </c>
      <c r="C77" s="4">
        <v>78</v>
      </c>
      <c r="D77" s="4">
        <v>100</v>
      </c>
      <c r="E77" s="4"/>
      <c r="F77" s="4">
        <v>55</v>
      </c>
      <c r="G77" s="4">
        <v>126</v>
      </c>
      <c r="H77" s="4">
        <f t="shared" si="15"/>
        <v>414</v>
      </c>
      <c r="I77" s="4">
        <v>278</v>
      </c>
      <c r="J77" s="4">
        <f t="shared" si="16"/>
        <v>692</v>
      </c>
      <c r="K77" s="5">
        <f t="shared" si="17"/>
        <v>72.84210526315789</v>
      </c>
      <c r="L77" s="5">
        <f t="shared" si="18"/>
        <v>74.810810810810807</v>
      </c>
    </row>
    <row r="78" spans="1:12" x14ac:dyDescent="0.2">
      <c r="A78" s="1" t="s">
        <v>20</v>
      </c>
      <c r="B78" s="4">
        <v>75</v>
      </c>
      <c r="C78" s="4">
        <v>80.5</v>
      </c>
      <c r="D78" s="4">
        <v>105</v>
      </c>
      <c r="E78" s="4">
        <v>68.75</v>
      </c>
      <c r="F78" s="4">
        <v>40</v>
      </c>
      <c r="G78" s="4">
        <v>73</v>
      </c>
      <c r="H78" s="4">
        <f t="shared" si="15"/>
        <v>442.25</v>
      </c>
      <c r="I78" s="4">
        <v>277</v>
      </c>
      <c r="J78" s="4">
        <f t="shared" si="16"/>
        <v>719.25</v>
      </c>
      <c r="K78" s="5">
        <f t="shared" si="17"/>
        <v>75.71052631578948</v>
      </c>
      <c r="L78" s="5">
        <f t="shared" si="18"/>
        <v>77.756756756756758</v>
      </c>
    </row>
    <row r="79" spans="1:12" x14ac:dyDescent="0.2">
      <c r="A79" s="1" t="s">
        <v>20</v>
      </c>
      <c r="B79" s="4">
        <v>80</v>
      </c>
      <c r="C79" s="4">
        <v>78.83</v>
      </c>
      <c r="D79" s="4">
        <v>150</v>
      </c>
      <c r="E79" s="4">
        <v>97.5</v>
      </c>
      <c r="F79" s="4">
        <v>65</v>
      </c>
      <c r="G79" s="4">
        <v>119</v>
      </c>
      <c r="H79" s="4">
        <f t="shared" si="15"/>
        <v>590.32999999999993</v>
      </c>
      <c r="I79" s="4">
        <v>272</v>
      </c>
      <c r="J79" s="4">
        <f t="shared" si="16"/>
        <v>862.32999999999993</v>
      </c>
      <c r="K79" s="5">
        <f t="shared" si="17"/>
        <v>90.771578947368411</v>
      </c>
      <c r="L79" s="5">
        <f t="shared" si="18"/>
        <v>93.224864864864855</v>
      </c>
    </row>
    <row r="80" spans="1:12" x14ac:dyDescent="0.2">
      <c r="A80" s="1" t="s">
        <v>20</v>
      </c>
      <c r="B80" s="4">
        <v>80</v>
      </c>
      <c r="C80" s="4">
        <v>74.16</v>
      </c>
      <c r="D80" s="4">
        <v>137.5</v>
      </c>
      <c r="E80" s="4">
        <v>87.03</v>
      </c>
      <c r="F80" s="4">
        <v>40</v>
      </c>
      <c r="G80" s="4">
        <v>103</v>
      </c>
      <c r="H80" s="4">
        <f t="shared" si="15"/>
        <v>521.68999999999994</v>
      </c>
      <c r="I80" s="4">
        <v>288</v>
      </c>
      <c r="J80" s="4">
        <f t="shared" si="16"/>
        <v>809.68999999999994</v>
      </c>
      <c r="K80" s="5">
        <f t="shared" si="17"/>
        <v>85.230526315789461</v>
      </c>
      <c r="L80" s="5">
        <f t="shared" si="18"/>
        <v>87.534054054054039</v>
      </c>
    </row>
    <row r="81" spans="1:12" x14ac:dyDescent="0.2">
      <c r="A81" s="1" t="s">
        <v>20</v>
      </c>
      <c r="B81" s="4">
        <v>100</v>
      </c>
      <c r="C81" s="4">
        <v>90</v>
      </c>
      <c r="D81" s="4">
        <v>145</v>
      </c>
      <c r="E81" s="4">
        <v>98.8</v>
      </c>
      <c r="F81" s="4">
        <v>45</v>
      </c>
      <c r="G81" s="4">
        <v>132</v>
      </c>
      <c r="H81" s="4">
        <f t="shared" si="15"/>
        <v>610.79999999999995</v>
      </c>
      <c r="I81" s="4">
        <v>285</v>
      </c>
      <c r="J81" s="4">
        <f t="shared" si="16"/>
        <v>895.8</v>
      </c>
      <c r="K81" s="5">
        <f t="shared" si="17"/>
        <v>94.294736842105252</v>
      </c>
      <c r="L81" s="5">
        <f t="shared" si="18"/>
        <v>96.843243243243236</v>
      </c>
    </row>
    <row r="82" spans="1:12" x14ac:dyDescent="0.2">
      <c r="A82" s="1" t="s">
        <v>20</v>
      </c>
      <c r="B82" s="4">
        <v>90</v>
      </c>
      <c r="C82" s="4">
        <v>63.5</v>
      </c>
      <c r="D82" s="4">
        <v>82.5</v>
      </c>
      <c r="E82" s="4">
        <v>97.55</v>
      </c>
      <c r="F82" s="4">
        <v>25</v>
      </c>
      <c r="G82" s="4"/>
      <c r="H82" s="4">
        <f t="shared" si="15"/>
        <v>358.55</v>
      </c>
      <c r="I82" s="4">
        <v>225</v>
      </c>
      <c r="J82" s="4">
        <f t="shared" si="16"/>
        <v>583.54999999999995</v>
      </c>
      <c r="K82" s="5">
        <f t="shared" si="17"/>
        <v>61.426315789473684</v>
      </c>
      <c r="L82" s="5">
        <f t="shared" si="18"/>
        <v>63.086486486486478</v>
      </c>
    </row>
    <row r="83" spans="1:12" x14ac:dyDescent="0.2">
      <c r="A83" s="1" t="s">
        <v>20</v>
      </c>
      <c r="B83" s="4">
        <v>85</v>
      </c>
      <c r="C83" s="4">
        <v>80</v>
      </c>
      <c r="D83" s="4">
        <v>145</v>
      </c>
      <c r="E83" s="4">
        <v>89.37</v>
      </c>
      <c r="F83" s="4">
        <v>75</v>
      </c>
      <c r="G83" s="4">
        <v>94</v>
      </c>
      <c r="H83" s="4">
        <f t="shared" si="15"/>
        <v>568.37</v>
      </c>
      <c r="I83" s="4">
        <v>290</v>
      </c>
      <c r="J83" s="4">
        <f t="shared" si="16"/>
        <v>858.37</v>
      </c>
      <c r="K83" s="5">
        <f t="shared" si="17"/>
        <v>90.354736842105268</v>
      </c>
      <c r="L83" s="5">
        <f t="shared" si="18"/>
        <v>92.796756756756764</v>
      </c>
    </row>
    <row r="84" spans="1:12" x14ac:dyDescent="0.2">
      <c r="A84" s="1" t="s">
        <v>20</v>
      </c>
      <c r="B84" s="4">
        <v>95</v>
      </c>
      <c r="C84" s="4">
        <v>95.5</v>
      </c>
      <c r="D84" s="4">
        <v>150</v>
      </c>
      <c r="E84" s="4">
        <v>97.91</v>
      </c>
      <c r="F84" s="4">
        <v>40</v>
      </c>
      <c r="G84" s="4">
        <v>86</v>
      </c>
      <c r="H84" s="4">
        <f t="shared" si="15"/>
        <v>564.41</v>
      </c>
      <c r="I84" s="4">
        <v>269</v>
      </c>
      <c r="J84" s="4">
        <f t="shared" si="16"/>
        <v>833.41</v>
      </c>
      <c r="K84" s="5">
        <f t="shared" si="17"/>
        <v>87.727368421052631</v>
      </c>
      <c r="L84" s="5">
        <f t="shared" si="18"/>
        <v>90.098378378378371</v>
      </c>
    </row>
    <row r="85" spans="1:12" x14ac:dyDescent="0.2">
      <c r="A85" s="1" t="s">
        <v>20</v>
      </c>
      <c r="B85" s="4">
        <v>75</v>
      </c>
      <c r="C85" s="4">
        <v>73</v>
      </c>
      <c r="D85" s="4">
        <v>102.5</v>
      </c>
      <c r="E85" s="4">
        <v>87</v>
      </c>
      <c r="F85" s="4">
        <v>50</v>
      </c>
      <c r="G85" s="4">
        <v>87</v>
      </c>
      <c r="H85" s="4">
        <f t="shared" ref="H85:H91" si="19">SUM(B85:G85)</f>
        <v>474.5</v>
      </c>
      <c r="I85" s="4">
        <v>276</v>
      </c>
      <c r="J85" s="4">
        <f t="shared" ref="J85:J91" si="20">H85+I85</f>
        <v>750.5</v>
      </c>
      <c r="K85" s="5">
        <f t="shared" ref="K85:K91" si="21">(J85/950)*100</f>
        <v>79</v>
      </c>
      <c r="L85" s="5">
        <f t="shared" ref="L85:L91" si="22">(J85/925)*100</f>
        <v>81.135135135135144</v>
      </c>
    </row>
    <row r="86" spans="1:12" x14ac:dyDescent="0.2">
      <c r="A86" s="1" t="s">
        <v>20</v>
      </c>
      <c r="B86" s="4">
        <v>94</v>
      </c>
      <c r="C86" s="4">
        <v>88.33</v>
      </c>
      <c r="D86" s="4">
        <v>145</v>
      </c>
      <c r="E86" s="4">
        <v>79.63</v>
      </c>
      <c r="F86" s="4">
        <v>73</v>
      </c>
      <c r="G86" s="4">
        <v>141</v>
      </c>
      <c r="H86" s="4">
        <f t="shared" si="19"/>
        <v>620.96</v>
      </c>
      <c r="I86" s="4">
        <v>284</v>
      </c>
      <c r="J86" s="4">
        <f t="shared" si="20"/>
        <v>904.96</v>
      </c>
      <c r="K86" s="5">
        <f t="shared" si="21"/>
        <v>95.258947368421047</v>
      </c>
      <c r="L86" s="5">
        <f t="shared" si="22"/>
        <v>97.833513513513509</v>
      </c>
    </row>
    <row r="87" spans="1:12" x14ac:dyDescent="0.2">
      <c r="A87" s="1" t="s">
        <v>20</v>
      </c>
      <c r="B87" s="4">
        <v>95</v>
      </c>
      <c r="C87" s="4">
        <v>63.33</v>
      </c>
      <c r="D87" s="4">
        <v>117.5</v>
      </c>
      <c r="E87" s="4">
        <v>54.11</v>
      </c>
      <c r="F87" s="4">
        <v>57</v>
      </c>
      <c r="G87" s="4">
        <v>103</v>
      </c>
      <c r="H87" s="4">
        <f t="shared" si="19"/>
        <v>489.94</v>
      </c>
      <c r="I87" s="4">
        <v>258</v>
      </c>
      <c r="J87" s="4">
        <f t="shared" si="20"/>
        <v>747.94</v>
      </c>
      <c r="K87" s="5">
        <f t="shared" si="21"/>
        <v>78.73052631578949</v>
      </c>
      <c r="L87" s="5">
        <f t="shared" si="22"/>
        <v>80.858378378378376</v>
      </c>
    </row>
    <row r="88" spans="1:12" x14ac:dyDescent="0.2">
      <c r="A88" s="1" t="s">
        <v>20</v>
      </c>
      <c r="B88" s="4">
        <v>85</v>
      </c>
      <c r="C88" s="4">
        <v>88.33</v>
      </c>
      <c r="D88" s="4">
        <v>150</v>
      </c>
      <c r="E88" s="4">
        <v>89.84</v>
      </c>
      <c r="F88" s="4">
        <v>60</v>
      </c>
      <c r="G88" s="4">
        <v>115</v>
      </c>
      <c r="H88" s="4">
        <f t="shared" si="19"/>
        <v>588.16999999999996</v>
      </c>
      <c r="I88" s="4">
        <v>272</v>
      </c>
      <c r="J88" s="4">
        <f t="shared" si="20"/>
        <v>860.17</v>
      </c>
      <c r="K88" s="5">
        <f t="shared" si="21"/>
        <v>90.54421052631578</v>
      </c>
      <c r="L88" s="5">
        <f t="shared" si="22"/>
        <v>92.991351351351341</v>
      </c>
    </row>
    <row r="89" spans="1:12" x14ac:dyDescent="0.2">
      <c r="A89" s="1" t="s">
        <v>20</v>
      </c>
      <c r="B89" s="4">
        <v>80</v>
      </c>
      <c r="C89" s="4">
        <v>59</v>
      </c>
      <c r="D89" s="4">
        <v>130</v>
      </c>
      <c r="E89" s="4">
        <v>99.47</v>
      </c>
      <c r="F89" s="4">
        <v>47</v>
      </c>
      <c r="G89" s="4">
        <v>77</v>
      </c>
      <c r="H89" s="4">
        <f t="shared" si="19"/>
        <v>492.47</v>
      </c>
      <c r="I89" s="4">
        <v>284</v>
      </c>
      <c r="J89" s="4">
        <f t="shared" si="20"/>
        <v>776.47</v>
      </c>
      <c r="K89" s="5">
        <f t="shared" si="21"/>
        <v>81.73368421052632</v>
      </c>
      <c r="L89" s="5">
        <f t="shared" si="22"/>
        <v>83.942702702702704</v>
      </c>
    </row>
    <row r="90" spans="1:12" x14ac:dyDescent="0.2">
      <c r="A90" s="1" t="s">
        <v>20</v>
      </c>
      <c r="B90" s="4"/>
      <c r="C90" s="4">
        <v>71</v>
      </c>
      <c r="D90" s="4">
        <v>110</v>
      </c>
      <c r="E90" s="4">
        <v>70</v>
      </c>
      <c r="F90" s="4">
        <v>10</v>
      </c>
      <c r="G90" s="4">
        <v>88</v>
      </c>
      <c r="H90" s="4">
        <f t="shared" si="19"/>
        <v>349</v>
      </c>
      <c r="I90" s="4">
        <v>254</v>
      </c>
      <c r="J90" s="4">
        <f t="shared" si="20"/>
        <v>603</v>
      </c>
      <c r="K90" s="5">
        <f t="shared" si="21"/>
        <v>63.473684210526315</v>
      </c>
      <c r="L90" s="5">
        <f t="shared" si="22"/>
        <v>65.189189189189193</v>
      </c>
    </row>
    <row r="91" spans="1:12" x14ac:dyDescent="0.2">
      <c r="A91" s="1" t="s">
        <v>20</v>
      </c>
      <c r="B91" s="4">
        <v>80</v>
      </c>
      <c r="C91" s="4">
        <v>67</v>
      </c>
      <c r="D91" s="4">
        <v>140</v>
      </c>
      <c r="E91" s="4">
        <v>75</v>
      </c>
      <c r="F91" s="4">
        <v>20</v>
      </c>
      <c r="G91" s="4">
        <v>108</v>
      </c>
      <c r="H91" s="4">
        <f t="shared" si="19"/>
        <v>490</v>
      </c>
      <c r="I91" s="4">
        <v>252</v>
      </c>
      <c r="J91" s="4">
        <f t="shared" si="20"/>
        <v>742</v>
      </c>
      <c r="K91" s="5">
        <f t="shared" si="21"/>
        <v>78.10526315789474</v>
      </c>
      <c r="L91" s="5">
        <f t="shared" si="22"/>
        <v>80.216216216216225</v>
      </c>
    </row>
    <row r="92" spans="1:12" x14ac:dyDescent="0.2">
      <c r="A92" s="1" t="s">
        <v>20</v>
      </c>
      <c r="B92" s="4">
        <v>80</v>
      </c>
      <c r="C92" s="4">
        <v>78</v>
      </c>
      <c r="D92" s="4">
        <v>97.5</v>
      </c>
      <c r="E92" s="4">
        <v>79.790000000000006</v>
      </c>
      <c r="F92" s="4">
        <v>47</v>
      </c>
      <c r="G92" s="4">
        <v>111</v>
      </c>
      <c r="H92" s="4">
        <f t="shared" ref="H92:H112" si="23">SUM(B92:G92)</f>
        <v>493.29</v>
      </c>
      <c r="I92" s="4">
        <v>288</v>
      </c>
      <c r="J92" s="4">
        <f t="shared" ref="J92:J117" si="24">H92+I92</f>
        <v>781.29</v>
      </c>
      <c r="K92" s="5">
        <f t="shared" ref="K92:K117" si="25">(J92/950)*100</f>
        <v>82.241052631578953</v>
      </c>
      <c r="L92" s="5">
        <f t="shared" ref="L92:L117" si="26">(J92/925)*100</f>
        <v>84.463783783783768</v>
      </c>
    </row>
    <row r="93" spans="1:12" x14ac:dyDescent="0.2">
      <c r="A93" s="1" t="s">
        <v>20</v>
      </c>
      <c r="B93" s="4">
        <v>50</v>
      </c>
      <c r="C93" s="4">
        <v>67</v>
      </c>
      <c r="D93" s="4">
        <v>140</v>
      </c>
      <c r="E93" s="4">
        <v>79.790000000000006</v>
      </c>
      <c r="F93" s="4">
        <v>60</v>
      </c>
      <c r="G93" s="4">
        <v>94</v>
      </c>
      <c r="H93" s="4">
        <f t="shared" si="23"/>
        <v>490.79</v>
      </c>
      <c r="I93" s="4">
        <v>283</v>
      </c>
      <c r="J93" s="4">
        <f t="shared" si="24"/>
        <v>773.79</v>
      </c>
      <c r="K93" s="5">
        <f t="shared" si="25"/>
        <v>81.451578947368418</v>
      </c>
      <c r="L93" s="5">
        <f t="shared" si="26"/>
        <v>83.652972972972975</v>
      </c>
    </row>
    <row r="94" spans="1:12" x14ac:dyDescent="0.2">
      <c r="A94" s="1" t="s">
        <v>20</v>
      </c>
      <c r="B94" s="4">
        <v>85</v>
      </c>
      <c r="C94" s="4">
        <v>76.83</v>
      </c>
      <c r="D94" s="4">
        <v>110</v>
      </c>
      <c r="E94" s="4">
        <v>98.43</v>
      </c>
      <c r="F94" s="4">
        <v>60</v>
      </c>
      <c r="G94" s="4">
        <v>101</v>
      </c>
      <c r="H94" s="4">
        <f t="shared" si="23"/>
        <v>531.26</v>
      </c>
      <c r="I94" s="4">
        <v>288</v>
      </c>
      <c r="J94" s="4">
        <f t="shared" si="24"/>
        <v>819.26</v>
      </c>
      <c r="K94" s="5">
        <f t="shared" si="25"/>
        <v>86.237894736842108</v>
      </c>
      <c r="L94" s="5">
        <f t="shared" si="26"/>
        <v>88.568648648648647</v>
      </c>
    </row>
    <row r="95" spans="1:12" x14ac:dyDescent="0.2">
      <c r="A95" s="1" t="s">
        <v>20</v>
      </c>
      <c r="B95" s="4">
        <v>90</v>
      </c>
      <c r="C95" s="4">
        <v>88.83</v>
      </c>
      <c r="D95" s="4">
        <v>140</v>
      </c>
      <c r="E95" s="4">
        <v>89.63</v>
      </c>
      <c r="F95" s="4">
        <v>92</v>
      </c>
      <c r="G95" s="4">
        <v>119</v>
      </c>
      <c r="H95" s="4">
        <f t="shared" si="23"/>
        <v>619.46</v>
      </c>
      <c r="I95" s="4">
        <v>297</v>
      </c>
      <c r="J95" s="4">
        <f t="shared" si="24"/>
        <v>916.46</v>
      </c>
      <c r="K95" s="5">
        <f t="shared" si="25"/>
        <v>96.469473684210527</v>
      </c>
      <c r="L95" s="5">
        <f t="shared" si="26"/>
        <v>99.076756756756751</v>
      </c>
    </row>
    <row r="96" spans="1:12" x14ac:dyDescent="0.2">
      <c r="A96" s="1" t="s">
        <v>20</v>
      </c>
      <c r="B96" s="4">
        <v>80</v>
      </c>
      <c r="C96" s="4">
        <v>72</v>
      </c>
      <c r="D96" s="4">
        <v>90</v>
      </c>
      <c r="E96" s="4">
        <v>87.96</v>
      </c>
      <c r="F96" s="4">
        <v>50</v>
      </c>
      <c r="G96" s="4">
        <v>119.5</v>
      </c>
      <c r="H96" s="4">
        <f t="shared" si="23"/>
        <v>499.46</v>
      </c>
      <c r="I96" s="4">
        <v>284</v>
      </c>
      <c r="J96" s="4">
        <f t="shared" si="24"/>
        <v>783.46</v>
      </c>
      <c r="K96" s="5">
        <f t="shared" si="25"/>
        <v>82.469473684210527</v>
      </c>
      <c r="L96" s="5">
        <f t="shared" si="26"/>
        <v>84.698378378378379</v>
      </c>
    </row>
    <row r="97" spans="1:12" x14ac:dyDescent="0.2">
      <c r="A97" s="1" t="s">
        <v>20</v>
      </c>
      <c r="B97" s="4">
        <v>80</v>
      </c>
      <c r="C97" s="4">
        <v>82.5</v>
      </c>
      <c r="D97" s="4">
        <v>142.5</v>
      </c>
      <c r="E97" s="4">
        <v>88.54</v>
      </c>
      <c r="F97" s="4">
        <v>51.5</v>
      </c>
      <c r="G97" s="4">
        <v>52</v>
      </c>
      <c r="H97" s="4">
        <f t="shared" si="23"/>
        <v>497.04</v>
      </c>
      <c r="I97" s="4">
        <v>196</v>
      </c>
      <c r="J97" s="4">
        <f t="shared" si="24"/>
        <v>693.04</v>
      </c>
      <c r="K97" s="5">
        <f t="shared" si="25"/>
        <v>72.951578947368418</v>
      </c>
      <c r="L97" s="5">
        <f t="shared" si="26"/>
        <v>74.923243243243249</v>
      </c>
    </row>
    <row r="98" spans="1:12" x14ac:dyDescent="0.2">
      <c r="A98" s="1" t="s">
        <v>20</v>
      </c>
      <c r="B98" s="4">
        <v>76</v>
      </c>
      <c r="C98" s="4">
        <v>78</v>
      </c>
      <c r="D98" s="4">
        <v>77.5</v>
      </c>
      <c r="E98" s="4">
        <v>98.54</v>
      </c>
      <c r="F98" s="4">
        <v>47</v>
      </c>
      <c r="G98" s="4">
        <v>105</v>
      </c>
      <c r="H98" s="4">
        <f t="shared" si="23"/>
        <v>482.04</v>
      </c>
      <c r="I98" s="4">
        <v>268</v>
      </c>
      <c r="J98" s="4">
        <f t="shared" si="24"/>
        <v>750.04</v>
      </c>
      <c r="K98" s="5">
        <f t="shared" si="25"/>
        <v>78.951578947368418</v>
      </c>
      <c r="L98" s="5">
        <f t="shared" si="26"/>
        <v>81.085405405405396</v>
      </c>
    </row>
    <row r="99" spans="1:12" x14ac:dyDescent="0.2">
      <c r="A99" s="1" t="s">
        <v>20</v>
      </c>
      <c r="B99" s="4">
        <v>60</v>
      </c>
      <c r="C99" s="4">
        <v>84.66</v>
      </c>
      <c r="D99" s="4">
        <v>142.5</v>
      </c>
      <c r="E99" s="4"/>
      <c r="F99" s="4">
        <v>35</v>
      </c>
      <c r="G99" s="4">
        <v>68</v>
      </c>
      <c r="H99" s="4">
        <f t="shared" si="23"/>
        <v>390.15999999999997</v>
      </c>
      <c r="I99" s="4">
        <v>291</v>
      </c>
      <c r="J99" s="4">
        <f t="shared" si="24"/>
        <v>681.16</v>
      </c>
      <c r="K99" s="5">
        <f t="shared" si="25"/>
        <v>71.701052631578946</v>
      </c>
      <c r="L99" s="5">
        <f t="shared" si="26"/>
        <v>73.638918918918918</v>
      </c>
    </row>
    <row r="100" spans="1:12" x14ac:dyDescent="0.2">
      <c r="A100" s="1" t="s">
        <v>20</v>
      </c>
      <c r="B100" s="4">
        <v>40</v>
      </c>
      <c r="C100" s="4">
        <v>87.16</v>
      </c>
      <c r="D100" s="4">
        <v>110</v>
      </c>
      <c r="E100" s="4">
        <v>68.64</v>
      </c>
      <c r="F100" s="4">
        <v>25</v>
      </c>
      <c r="G100" s="4">
        <v>92</v>
      </c>
      <c r="H100" s="4">
        <f t="shared" si="23"/>
        <v>422.8</v>
      </c>
      <c r="I100" s="4">
        <v>184</v>
      </c>
      <c r="J100" s="4">
        <f t="shared" si="24"/>
        <v>606.79999999999995</v>
      </c>
      <c r="K100" s="5">
        <f t="shared" si="25"/>
        <v>63.873684210526314</v>
      </c>
      <c r="L100" s="5">
        <f t="shared" si="26"/>
        <v>65.599999999999994</v>
      </c>
    </row>
    <row r="101" spans="1:12" x14ac:dyDescent="0.2">
      <c r="A101" s="1" t="s">
        <v>20</v>
      </c>
      <c r="B101" s="4">
        <v>55</v>
      </c>
      <c r="C101" s="4">
        <v>72.5</v>
      </c>
      <c r="D101" s="4">
        <v>115</v>
      </c>
      <c r="E101" s="4">
        <v>79.209999999999994</v>
      </c>
      <c r="F101" s="4">
        <v>50</v>
      </c>
      <c r="G101" s="4">
        <v>100</v>
      </c>
      <c r="H101" s="4">
        <f t="shared" si="23"/>
        <v>471.71</v>
      </c>
      <c r="I101" s="4">
        <v>276</v>
      </c>
      <c r="J101" s="4">
        <f t="shared" si="24"/>
        <v>747.71</v>
      </c>
      <c r="K101" s="5">
        <f t="shared" si="25"/>
        <v>78.706315789473692</v>
      </c>
      <c r="L101" s="5">
        <f t="shared" si="26"/>
        <v>80.833513513513523</v>
      </c>
    </row>
    <row r="102" spans="1:12" x14ac:dyDescent="0.2">
      <c r="A102" s="1" t="s">
        <v>20</v>
      </c>
      <c r="B102" s="4">
        <v>55</v>
      </c>
      <c r="C102" s="4">
        <v>87</v>
      </c>
      <c r="D102" s="4">
        <v>120</v>
      </c>
      <c r="E102" s="4">
        <v>80</v>
      </c>
      <c r="F102" s="4">
        <v>60</v>
      </c>
      <c r="G102" s="4">
        <v>114</v>
      </c>
      <c r="H102" s="4">
        <f t="shared" si="23"/>
        <v>516</v>
      </c>
      <c r="I102" s="4">
        <v>283</v>
      </c>
      <c r="J102" s="4">
        <f t="shared" si="24"/>
        <v>799</v>
      </c>
      <c r="K102" s="5">
        <f t="shared" si="25"/>
        <v>84.10526315789474</v>
      </c>
      <c r="L102" s="5">
        <f t="shared" si="26"/>
        <v>86.378378378378372</v>
      </c>
    </row>
    <row r="103" spans="1:12" x14ac:dyDescent="0.2">
      <c r="A103" s="1" t="s">
        <v>20</v>
      </c>
      <c r="B103" s="4">
        <v>90</v>
      </c>
      <c r="C103" s="4">
        <v>96.33</v>
      </c>
      <c r="D103" s="4">
        <v>147.5</v>
      </c>
      <c r="E103" s="4">
        <v>79.63</v>
      </c>
      <c r="F103" s="4">
        <v>50</v>
      </c>
      <c r="G103" s="4">
        <v>82</v>
      </c>
      <c r="H103" s="4">
        <f t="shared" si="23"/>
        <v>545.46</v>
      </c>
      <c r="I103" s="4">
        <v>206</v>
      </c>
      <c r="J103" s="4">
        <f t="shared" si="24"/>
        <v>751.46</v>
      </c>
      <c r="K103" s="5">
        <f t="shared" si="25"/>
        <v>79.101052631578952</v>
      </c>
      <c r="L103" s="5">
        <f t="shared" si="26"/>
        <v>81.238918918918927</v>
      </c>
    </row>
    <row r="104" spans="1:12" x14ac:dyDescent="0.2">
      <c r="A104" s="1" t="s">
        <v>20</v>
      </c>
      <c r="B104" s="4">
        <v>85</v>
      </c>
      <c r="C104" s="4">
        <v>68</v>
      </c>
      <c r="D104" s="4">
        <v>125</v>
      </c>
      <c r="E104" s="4">
        <v>99.58</v>
      </c>
      <c r="F104" s="4">
        <v>65</v>
      </c>
      <c r="G104" s="4">
        <v>110</v>
      </c>
      <c r="H104" s="4">
        <f t="shared" si="23"/>
        <v>552.57999999999993</v>
      </c>
      <c r="I104" s="4">
        <v>263</v>
      </c>
      <c r="J104" s="4">
        <f t="shared" si="24"/>
        <v>815.57999999999993</v>
      </c>
      <c r="K104" s="5">
        <f t="shared" si="25"/>
        <v>85.850526315789466</v>
      </c>
      <c r="L104" s="5">
        <f t="shared" si="26"/>
        <v>88.170810810810806</v>
      </c>
    </row>
    <row r="105" spans="1:12" x14ac:dyDescent="0.2">
      <c r="A105" s="1" t="s">
        <v>20</v>
      </c>
      <c r="B105" s="4">
        <v>80</v>
      </c>
      <c r="C105" s="4">
        <v>95.33</v>
      </c>
      <c r="D105" s="4">
        <v>150</v>
      </c>
      <c r="E105" s="4">
        <v>88.01</v>
      </c>
      <c r="F105" s="4">
        <v>45</v>
      </c>
      <c r="G105" s="4">
        <v>132</v>
      </c>
      <c r="H105" s="4">
        <f t="shared" si="23"/>
        <v>590.33999999999992</v>
      </c>
      <c r="I105" s="4">
        <v>210</v>
      </c>
      <c r="J105" s="4">
        <f t="shared" si="24"/>
        <v>800.33999999999992</v>
      </c>
      <c r="K105" s="5">
        <f t="shared" si="25"/>
        <v>84.246315789473684</v>
      </c>
      <c r="L105" s="5">
        <f t="shared" si="26"/>
        <v>86.523243243243229</v>
      </c>
    </row>
    <row r="106" spans="1:12" x14ac:dyDescent="0.2">
      <c r="A106" s="1" t="s">
        <v>20</v>
      </c>
      <c r="B106" s="4"/>
      <c r="C106" s="4">
        <v>54.66</v>
      </c>
      <c r="D106" s="4">
        <v>60</v>
      </c>
      <c r="E106" s="4"/>
      <c r="F106" s="4"/>
      <c r="G106" s="4">
        <v>106</v>
      </c>
      <c r="H106" s="4">
        <f t="shared" si="23"/>
        <v>220.66</v>
      </c>
      <c r="I106" s="4">
        <v>113</v>
      </c>
      <c r="J106" s="4">
        <f t="shared" si="24"/>
        <v>333.65999999999997</v>
      </c>
      <c r="K106" s="5">
        <f t="shared" si="25"/>
        <v>35.122105263157891</v>
      </c>
      <c r="L106" s="5">
        <f t="shared" si="26"/>
        <v>36.071351351351346</v>
      </c>
    </row>
    <row r="107" spans="1:12" x14ac:dyDescent="0.2">
      <c r="A107" s="1" t="s">
        <v>20</v>
      </c>
      <c r="B107" s="4">
        <v>35</v>
      </c>
      <c r="C107" s="4">
        <v>80</v>
      </c>
      <c r="D107" s="4">
        <v>80</v>
      </c>
      <c r="E107" s="4">
        <v>48.17</v>
      </c>
      <c r="F107" s="4">
        <v>10</v>
      </c>
      <c r="G107" s="4">
        <v>88.5</v>
      </c>
      <c r="H107" s="4">
        <f t="shared" si="23"/>
        <v>341.67</v>
      </c>
      <c r="I107" s="4">
        <v>184</v>
      </c>
      <c r="J107" s="4">
        <f t="shared" si="24"/>
        <v>525.67000000000007</v>
      </c>
      <c r="K107" s="5">
        <f t="shared" si="25"/>
        <v>55.333684210526322</v>
      </c>
      <c r="L107" s="5">
        <f t="shared" si="26"/>
        <v>56.829189189189201</v>
      </c>
    </row>
    <row r="108" spans="1:12" x14ac:dyDescent="0.2">
      <c r="A108" s="1" t="s">
        <v>20</v>
      </c>
      <c r="B108" s="4">
        <v>40</v>
      </c>
      <c r="C108" s="4">
        <v>83</v>
      </c>
      <c r="D108" s="4">
        <v>112.5</v>
      </c>
      <c r="E108" s="4">
        <v>88.33</v>
      </c>
      <c r="F108" s="4"/>
      <c r="G108" s="4">
        <v>95</v>
      </c>
      <c r="H108" s="4">
        <f t="shared" si="23"/>
        <v>418.83</v>
      </c>
      <c r="I108" s="4">
        <v>299</v>
      </c>
      <c r="J108" s="4">
        <f t="shared" si="24"/>
        <v>717.82999999999993</v>
      </c>
      <c r="K108" s="5">
        <f t="shared" si="25"/>
        <v>75.561052631578946</v>
      </c>
      <c r="L108" s="5">
        <f t="shared" si="26"/>
        <v>77.603243243243242</v>
      </c>
    </row>
    <row r="109" spans="1:12" x14ac:dyDescent="0.2">
      <c r="A109" s="1" t="s">
        <v>20</v>
      </c>
      <c r="B109" s="4"/>
      <c r="C109" s="4">
        <v>60.33</v>
      </c>
      <c r="D109" s="4">
        <v>120</v>
      </c>
      <c r="E109" s="4">
        <v>87.03</v>
      </c>
      <c r="F109" s="4">
        <v>50</v>
      </c>
      <c r="G109" s="4">
        <v>58</v>
      </c>
      <c r="H109" s="4">
        <f t="shared" si="23"/>
        <v>375.36</v>
      </c>
      <c r="I109" s="4">
        <v>296</v>
      </c>
      <c r="J109" s="4">
        <f t="shared" si="24"/>
        <v>671.36</v>
      </c>
      <c r="K109" s="5">
        <f t="shared" si="25"/>
        <v>70.66947368421053</v>
      </c>
      <c r="L109" s="5">
        <f t="shared" si="26"/>
        <v>72.579459459459457</v>
      </c>
    </row>
    <row r="110" spans="1:12" x14ac:dyDescent="0.2">
      <c r="A110" s="1" t="s">
        <v>20</v>
      </c>
      <c r="B110" s="4">
        <v>75</v>
      </c>
      <c r="C110" s="4">
        <v>31.66</v>
      </c>
      <c r="D110" s="4">
        <v>60</v>
      </c>
      <c r="E110" s="4">
        <v>99.47</v>
      </c>
      <c r="F110" s="4">
        <v>115</v>
      </c>
      <c r="G110" s="4">
        <v>123</v>
      </c>
      <c r="H110" s="4">
        <f t="shared" si="23"/>
        <v>504.13</v>
      </c>
      <c r="I110" s="4">
        <v>295</v>
      </c>
      <c r="J110" s="4">
        <f t="shared" si="24"/>
        <v>799.13</v>
      </c>
      <c r="K110" s="5">
        <f t="shared" si="25"/>
        <v>84.118947368421047</v>
      </c>
      <c r="L110" s="5">
        <f t="shared" si="26"/>
        <v>86.392432432432429</v>
      </c>
    </row>
    <row r="111" spans="1:12" x14ac:dyDescent="0.2">
      <c r="A111" s="1" t="s">
        <v>20</v>
      </c>
      <c r="B111" s="4">
        <v>50</v>
      </c>
      <c r="C111" s="4">
        <v>93</v>
      </c>
      <c r="D111" s="4">
        <v>100</v>
      </c>
      <c r="E111" s="4">
        <v>49.63</v>
      </c>
      <c r="F111" s="4">
        <v>75</v>
      </c>
      <c r="G111" s="4">
        <v>106</v>
      </c>
      <c r="H111" s="4">
        <f t="shared" si="23"/>
        <v>473.63</v>
      </c>
      <c r="I111" s="4">
        <v>290</v>
      </c>
      <c r="J111" s="4">
        <f t="shared" si="24"/>
        <v>763.63</v>
      </c>
      <c r="K111" s="5">
        <f t="shared" si="25"/>
        <v>80.382105263157897</v>
      </c>
      <c r="L111" s="5">
        <f t="shared" si="26"/>
        <v>82.554594594594604</v>
      </c>
    </row>
    <row r="112" spans="1:12" x14ac:dyDescent="0.2">
      <c r="A112" s="1" t="s">
        <v>20</v>
      </c>
      <c r="B112" s="4">
        <v>36</v>
      </c>
      <c r="C112" s="4">
        <v>58</v>
      </c>
      <c r="D112" s="4">
        <v>80</v>
      </c>
      <c r="E112" s="4"/>
      <c r="F112" s="4"/>
      <c r="G112" s="4"/>
      <c r="H112" s="4">
        <f t="shared" si="23"/>
        <v>174</v>
      </c>
      <c r="I112" s="4">
        <v>220</v>
      </c>
      <c r="J112" s="4">
        <f t="shared" si="24"/>
        <v>394</v>
      </c>
      <c r="K112" s="5">
        <f t="shared" si="25"/>
        <v>41.473684210526315</v>
      </c>
      <c r="L112" s="5">
        <f t="shared" si="26"/>
        <v>42.594594594594589</v>
      </c>
    </row>
    <row r="113" spans="1:12" x14ac:dyDescent="0.2">
      <c r="A113" s="1" t="s">
        <v>20</v>
      </c>
      <c r="B113" s="4">
        <v>42</v>
      </c>
      <c r="C113" s="4"/>
      <c r="D113" s="4"/>
      <c r="E113" s="4"/>
      <c r="F113" s="4"/>
      <c r="G113" s="4"/>
      <c r="H113" s="4"/>
      <c r="I113" s="4">
        <v>220</v>
      </c>
      <c r="J113" s="4">
        <f t="shared" si="24"/>
        <v>220</v>
      </c>
      <c r="K113" s="5">
        <f t="shared" si="25"/>
        <v>23.157894736842106</v>
      </c>
      <c r="L113" s="5">
        <f t="shared" si="26"/>
        <v>23.783783783783786</v>
      </c>
    </row>
    <row r="114" spans="1:12" x14ac:dyDescent="0.2">
      <c r="A114" s="1" t="s">
        <v>20</v>
      </c>
      <c r="B114" s="4">
        <v>70</v>
      </c>
      <c r="C114" s="4">
        <v>88.33</v>
      </c>
      <c r="D114" s="4">
        <v>117.5</v>
      </c>
      <c r="E114" s="4">
        <v>95.16</v>
      </c>
      <c r="F114" s="4">
        <v>90</v>
      </c>
      <c r="G114" s="4">
        <v>89</v>
      </c>
      <c r="H114" s="4">
        <f>SUM(B114:G114)</f>
        <v>549.99</v>
      </c>
      <c r="I114" s="4">
        <v>290</v>
      </c>
      <c r="J114" s="4">
        <f t="shared" si="24"/>
        <v>839.99</v>
      </c>
      <c r="K114" s="5">
        <f t="shared" si="25"/>
        <v>88.42</v>
      </c>
      <c r="L114" s="5">
        <f t="shared" si="26"/>
        <v>90.809729729729725</v>
      </c>
    </row>
    <row r="115" spans="1:12" x14ac:dyDescent="0.2">
      <c r="A115" s="1" t="s">
        <v>20</v>
      </c>
      <c r="B115" s="4">
        <v>85</v>
      </c>
      <c r="C115" s="4">
        <v>90</v>
      </c>
      <c r="D115" s="4">
        <v>100</v>
      </c>
      <c r="E115" s="4">
        <v>10</v>
      </c>
      <c r="F115" s="4"/>
      <c r="G115" s="4"/>
      <c r="H115" s="4">
        <f>SUM(B115:G115)</f>
        <v>285</v>
      </c>
      <c r="I115" s="4">
        <v>100</v>
      </c>
      <c r="J115" s="4">
        <f t="shared" si="24"/>
        <v>385</v>
      </c>
      <c r="K115" s="5">
        <f t="shared" si="25"/>
        <v>40.526315789473685</v>
      </c>
      <c r="L115" s="5">
        <f t="shared" si="26"/>
        <v>41.621621621621621</v>
      </c>
    </row>
    <row r="116" spans="1:12" x14ac:dyDescent="0.2">
      <c r="A116" s="1" t="s">
        <v>20</v>
      </c>
      <c r="B116" s="4">
        <v>70</v>
      </c>
      <c r="C116" s="4">
        <v>88</v>
      </c>
      <c r="D116" s="4">
        <v>150</v>
      </c>
      <c r="E116" s="4">
        <v>79.06</v>
      </c>
      <c r="F116" s="4">
        <v>70</v>
      </c>
      <c r="G116" s="4">
        <v>111</v>
      </c>
      <c r="H116" s="4">
        <f>SUM(B116:G116)</f>
        <v>568.05999999999995</v>
      </c>
      <c r="I116" s="4">
        <v>300</v>
      </c>
      <c r="J116" s="4">
        <f t="shared" si="24"/>
        <v>868.06</v>
      </c>
      <c r="K116" s="5">
        <f t="shared" si="25"/>
        <v>91.37473684210525</v>
      </c>
      <c r="L116" s="5">
        <f t="shared" si="26"/>
        <v>93.844324324324319</v>
      </c>
    </row>
    <row r="117" spans="1:12" x14ac:dyDescent="0.2">
      <c r="A117" s="1" t="s">
        <v>20</v>
      </c>
      <c r="B117" s="4">
        <v>33</v>
      </c>
      <c r="C117" s="4">
        <v>30</v>
      </c>
      <c r="D117" s="4">
        <v>100</v>
      </c>
      <c r="E117" s="4">
        <v>64.73</v>
      </c>
      <c r="F117" s="4">
        <v>25</v>
      </c>
      <c r="G117" s="4">
        <v>91</v>
      </c>
      <c r="H117" s="4">
        <f>SUM(B117:G117)</f>
        <v>343.73</v>
      </c>
      <c r="I117" s="4">
        <v>286</v>
      </c>
      <c r="J117" s="4">
        <f t="shared" si="24"/>
        <v>629.73</v>
      </c>
      <c r="K117" s="5">
        <f t="shared" si="25"/>
        <v>66.287368421052633</v>
      </c>
      <c r="L117" s="5">
        <f t="shared" si="26"/>
        <v>68.078918918918916</v>
      </c>
    </row>
    <row r="118" spans="1:12" x14ac:dyDescent="0.2">
      <c r="A118" s="1" t="s">
        <v>20</v>
      </c>
      <c r="B118" s="4">
        <v>75</v>
      </c>
      <c r="C118" s="4">
        <v>85</v>
      </c>
      <c r="D118" s="4">
        <v>80</v>
      </c>
      <c r="E118" s="4">
        <v>36.369999999999997</v>
      </c>
      <c r="F118" s="4">
        <v>82</v>
      </c>
      <c r="G118" s="4">
        <v>99</v>
      </c>
      <c r="H118" s="4">
        <f t="shared" ref="H118:H124" si="27">SUM(B118:G118)</f>
        <v>457.37</v>
      </c>
      <c r="I118" s="4">
        <v>120</v>
      </c>
      <c r="J118" s="4">
        <f t="shared" ref="J118:J124" si="28">H118+I118</f>
        <v>577.37</v>
      </c>
      <c r="K118" s="5">
        <f t="shared" ref="K118:K124" si="29">(J118/950)*100</f>
        <v>60.775789473684213</v>
      </c>
      <c r="L118" s="5">
        <f t="shared" ref="L118:L124" si="30">(J118/925)*100</f>
        <v>62.418378378378378</v>
      </c>
    </row>
    <row r="119" spans="1:12" x14ac:dyDescent="0.2">
      <c r="A119" s="1" t="s">
        <v>20</v>
      </c>
      <c r="B119" s="4"/>
      <c r="C119" s="4">
        <v>75</v>
      </c>
      <c r="D119" s="4">
        <v>90</v>
      </c>
      <c r="E119" s="4">
        <v>45.62</v>
      </c>
      <c r="F119" s="4">
        <v>52.5</v>
      </c>
      <c r="G119" s="4">
        <v>126</v>
      </c>
      <c r="H119" s="4">
        <f t="shared" si="27"/>
        <v>389.12</v>
      </c>
      <c r="I119" s="4">
        <v>265</v>
      </c>
      <c r="J119" s="4">
        <f t="shared" si="28"/>
        <v>654.12</v>
      </c>
      <c r="K119" s="5">
        <f t="shared" si="29"/>
        <v>68.854736842105268</v>
      </c>
      <c r="L119" s="5">
        <f t="shared" si="30"/>
        <v>70.715675675675669</v>
      </c>
    </row>
    <row r="120" spans="1:12" x14ac:dyDescent="0.2">
      <c r="A120" s="1" t="s">
        <v>20</v>
      </c>
      <c r="B120" s="4">
        <v>80</v>
      </c>
      <c r="C120" s="4">
        <v>80</v>
      </c>
      <c r="D120" s="4">
        <v>85</v>
      </c>
      <c r="E120" s="4">
        <v>74.790000000000006</v>
      </c>
      <c r="F120" s="4">
        <v>95</v>
      </c>
      <c r="G120" s="4">
        <v>103</v>
      </c>
      <c r="H120" s="4">
        <f t="shared" si="27"/>
        <v>517.79</v>
      </c>
      <c r="I120" s="4">
        <v>290</v>
      </c>
      <c r="J120" s="4">
        <f t="shared" si="28"/>
        <v>807.79</v>
      </c>
      <c r="K120" s="5">
        <f t="shared" si="29"/>
        <v>85.030526315789473</v>
      </c>
      <c r="L120" s="5">
        <f t="shared" si="30"/>
        <v>87.328648648648638</v>
      </c>
    </row>
    <row r="121" spans="1:12" x14ac:dyDescent="0.2">
      <c r="A121" s="1" t="s">
        <v>20</v>
      </c>
      <c r="B121" s="4">
        <v>15</v>
      </c>
      <c r="C121" s="4">
        <v>83.66</v>
      </c>
      <c r="D121" s="4">
        <v>120</v>
      </c>
      <c r="E121" s="4">
        <v>74.58</v>
      </c>
      <c r="F121" s="4">
        <v>20</v>
      </c>
      <c r="G121" s="4">
        <v>106</v>
      </c>
      <c r="H121" s="4">
        <f t="shared" si="27"/>
        <v>419.24</v>
      </c>
      <c r="I121" s="4">
        <v>268</v>
      </c>
      <c r="J121" s="4">
        <f t="shared" si="28"/>
        <v>687.24</v>
      </c>
      <c r="K121" s="5">
        <f t="shared" si="29"/>
        <v>72.341052631578947</v>
      </c>
      <c r="L121" s="5">
        <f t="shared" si="30"/>
        <v>74.296216216216209</v>
      </c>
    </row>
    <row r="122" spans="1:12" x14ac:dyDescent="0.2">
      <c r="A122" s="1" t="s">
        <v>20</v>
      </c>
      <c r="B122" s="4">
        <v>60</v>
      </c>
      <c r="C122" s="4">
        <v>80.5</v>
      </c>
      <c r="D122" s="4">
        <v>150</v>
      </c>
      <c r="E122" s="4">
        <v>92.18</v>
      </c>
      <c r="F122" s="4">
        <v>85</v>
      </c>
      <c r="G122" s="4">
        <v>128</v>
      </c>
      <c r="H122" s="4">
        <f t="shared" si="27"/>
        <v>595.68000000000006</v>
      </c>
      <c r="I122" s="4">
        <v>295</v>
      </c>
      <c r="J122" s="4">
        <f t="shared" si="28"/>
        <v>890.68000000000006</v>
      </c>
      <c r="K122" s="5">
        <f t="shared" si="29"/>
        <v>93.755789473684217</v>
      </c>
      <c r="L122" s="5">
        <f t="shared" si="30"/>
        <v>96.289729729729729</v>
      </c>
    </row>
    <row r="123" spans="1:12" x14ac:dyDescent="0.2">
      <c r="A123" s="1" t="s">
        <v>20</v>
      </c>
      <c r="B123" s="4">
        <v>90</v>
      </c>
      <c r="C123" s="4">
        <v>84.5</v>
      </c>
      <c r="D123" s="4">
        <v>110</v>
      </c>
      <c r="E123" s="4">
        <v>99.47</v>
      </c>
      <c r="F123" s="4">
        <v>75</v>
      </c>
      <c r="G123" s="4">
        <v>104</v>
      </c>
      <c r="H123" s="4">
        <f t="shared" si="27"/>
        <v>562.97</v>
      </c>
      <c r="I123" s="4">
        <v>300</v>
      </c>
      <c r="J123" s="4">
        <f t="shared" si="28"/>
        <v>862.97</v>
      </c>
      <c r="K123" s="5">
        <f t="shared" si="29"/>
        <v>90.838947368421046</v>
      </c>
      <c r="L123" s="5">
        <f t="shared" si="30"/>
        <v>93.294054054054058</v>
      </c>
    </row>
    <row r="124" spans="1:12" x14ac:dyDescent="0.2">
      <c r="A124" s="1" t="s">
        <v>20</v>
      </c>
      <c r="B124" s="4">
        <v>85</v>
      </c>
      <c r="C124" s="4">
        <v>86.33</v>
      </c>
      <c r="D124" s="4">
        <v>90</v>
      </c>
      <c r="E124" s="4">
        <v>96.87</v>
      </c>
      <c r="F124" s="4">
        <v>55</v>
      </c>
      <c r="G124" s="4">
        <v>131</v>
      </c>
      <c r="H124" s="4">
        <f t="shared" si="27"/>
        <v>544.20000000000005</v>
      </c>
      <c r="I124" s="4">
        <v>300</v>
      </c>
      <c r="J124" s="4">
        <f t="shared" si="28"/>
        <v>844.2</v>
      </c>
      <c r="K124" s="5">
        <f t="shared" si="29"/>
        <v>88.863157894736844</v>
      </c>
      <c r="L124" s="5">
        <f t="shared" si="30"/>
        <v>91.264864864864876</v>
      </c>
    </row>
    <row r="125" spans="1:12" x14ac:dyDescent="0.2">
      <c r="A125" s="1" t="s">
        <v>20</v>
      </c>
      <c r="B125" s="4">
        <v>40</v>
      </c>
      <c r="C125" s="4">
        <v>80.5</v>
      </c>
      <c r="D125" s="4">
        <v>100</v>
      </c>
      <c r="E125" s="4">
        <v>79.63</v>
      </c>
      <c r="F125" s="4">
        <v>115</v>
      </c>
      <c r="G125" s="4">
        <v>126</v>
      </c>
      <c r="H125" s="4">
        <f t="shared" ref="H125:H135" si="31">SUM(B125:G125)</f>
        <v>541.13</v>
      </c>
      <c r="I125" s="4">
        <v>297</v>
      </c>
      <c r="J125" s="4">
        <f t="shared" ref="J125:J135" si="32">H125+I125</f>
        <v>838.13</v>
      </c>
      <c r="K125" s="5">
        <f t="shared" ref="K125:K135" si="33">(J125/950)*100</f>
        <v>88.224210526315801</v>
      </c>
      <c r="L125" s="5">
        <f t="shared" ref="L125:L135" si="34">(J125/925)*100</f>
        <v>90.608648648648654</v>
      </c>
    </row>
    <row r="126" spans="1:12" x14ac:dyDescent="0.2">
      <c r="A126" s="1" t="s">
        <v>20</v>
      </c>
      <c r="B126" s="4">
        <v>90</v>
      </c>
      <c r="C126" s="4">
        <v>55.83</v>
      </c>
      <c r="D126" s="4"/>
      <c r="E126" s="4"/>
      <c r="F126" s="4"/>
      <c r="G126" s="4"/>
      <c r="H126" s="4">
        <f t="shared" si="31"/>
        <v>145.82999999999998</v>
      </c>
      <c r="I126" s="4">
        <v>40</v>
      </c>
      <c r="J126" s="4">
        <f t="shared" si="32"/>
        <v>185.82999999999998</v>
      </c>
      <c r="K126" s="5">
        <f t="shared" si="33"/>
        <v>19.561052631578946</v>
      </c>
      <c r="L126" s="5">
        <f t="shared" si="34"/>
        <v>20.089729729729726</v>
      </c>
    </row>
    <row r="127" spans="1:12" x14ac:dyDescent="0.2">
      <c r="A127" s="1" t="s">
        <v>20</v>
      </c>
      <c r="B127" s="4">
        <v>95</v>
      </c>
      <c r="C127" s="4">
        <v>98</v>
      </c>
      <c r="D127" s="4">
        <v>137.5</v>
      </c>
      <c r="E127" s="4">
        <v>99.63</v>
      </c>
      <c r="F127" s="4">
        <v>110</v>
      </c>
      <c r="G127" s="4">
        <v>122</v>
      </c>
      <c r="H127" s="4">
        <f t="shared" si="31"/>
        <v>662.13</v>
      </c>
      <c r="I127" s="4">
        <v>297</v>
      </c>
      <c r="J127" s="4">
        <f t="shared" si="32"/>
        <v>959.13</v>
      </c>
      <c r="K127" s="5">
        <f t="shared" si="33"/>
        <v>100.96105263157895</v>
      </c>
      <c r="L127" s="5">
        <f t="shared" si="34"/>
        <v>103.68972972972972</v>
      </c>
    </row>
    <row r="128" spans="1:12" x14ac:dyDescent="0.2">
      <c r="A128" s="1" t="s">
        <v>20</v>
      </c>
      <c r="B128" s="4">
        <v>80</v>
      </c>
      <c r="C128" s="4">
        <v>88</v>
      </c>
      <c r="D128" s="4">
        <v>147.5</v>
      </c>
      <c r="E128" s="4">
        <v>75.62</v>
      </c>
      <c r="F128" s="4">
        <v>95</v>
      </c>
      <c r="G128" s="4">
        <v>140</v>
      </c>
      <c r="H128" s="4">
        <f t="shared" si="31"/>
        <v>626.12</v>
      </c>
      <c r="I128" s="4">
        <v>286</v>
      </c>
      <c r="J128" s="4">
        <f t="shared" si="32"/>
        <v>912.12</v>
      </c>
      <c r="K128" s="5">
        <f t="shared" si="33"/>
        <v>96.012631578947378</v>
      </c>
      <c r="L128" s="5">
        <f t="shared" si="34"/>
        <v>98.607567567567571</v>
      </c>
    </row>
    <row r="129" spans="1:12" x14ac:dyDescent="0.2">
      <c r="A129" s="1" t="s">
        <v>20</v>
      </c>
      <c r="B129" s="4">
        <v>65</v>
      </c>
      <c r="C129" s="4">
        <v>90</v>
      </c>
      <c r="D129" s="4">
        <v>130</v>
      </c>
      <c r="E129" s="4">
        <v>72.5</v>
      </c>
      <c r="F129" s="4">
        <v>105</v>
      </c>
      <c r="G129" s="4">
        <v>115</v>
      </c>
      <c r="H129" s="4">
        <f t="shared" si="31"/>
        <v>577.5</v>
      </c>
      <c r="I129" s="4">
        <v>300</v>
      </c>
      <c r="J129" s="4">
        <f t="shared" si="32"/>
        <v>877.5</v>
      </c>
      <c r="K129" s="5">
        <f t="shared" si="33"/>
        <v>92.368421052631575</v>
      </c>
      <c r="L129" s="5">
        <f t="shared" si="34"/>
        <v>94.864864864864856</v>
      </c>
    </row>
    <row r="130" spans="1:12" x14ac:dyDescent="0.2">
      <c r="A130" s="1" t="s">
        <v>20</v>
      </c>
      <c r="B130" s="4">
        <v>55</v>
      </c>
      <c r="C130" s="4">
        <v>95</v>
      </c>
      <c r="D130" s="4">
        <v>140</v>
      </c>
      <c r="E130" s="4">
        <v>89.42</v>
      </c>
      <c r="F130" s="4">
        <v>85</v>
      </c>
      <c r="G130" s="4">
        <v>105</v>
      </c>
      <c r="H130" s="4">
        <f t="shared" si="31"/>
        <v>569.42000000000007</v>
      </c>
      <c r="I130" s="4">
        <v>281</v>
      </c>
      <c r="J130" s="4">
        <f t="shared" si="32"/>
        <v>850.42000000000007</v>
      </c>
      <c r="K130" s="5">
        <f t="shared" si="33"/>
        <v>89.517894736842109</v>
      </c>
      <c r="L130" s="5">
        <f t="shared" si="34"/>
        <v>91.937297297297306</v>
      </c>
    </row>
    <row r="131" spans="1:12" x14ac:dyDescent="0.2">
      <c r="A131" s="1" t="s">
        <v>20</v>
      </c>
      <c r="B131" s="4">
        <v>80</v>
      </c>
      <c r="C131" s="4">
        <v>86.83</v>
      </c>
      <c r="D131" s="4">
        <v>122.5</v>
      </c>
      <c r="E131" s="4">
        <v>77.91</v>
      </c>
      <c r="F131" s="4">
        <v>20</v>
      </c>
      <c r="G131" s="4"/>
      <c r="H131" s="4">
        <f t="shared" si="31"/>
        <v>387.24</v>
      </c>
      <c r="I131" s="4"/>
      <c r="J131" s="4">
        <f t="shared" si="32"/>
        <v>387.24</v>
      </c>
      <c r="K131" s="5">
        <f t="shared" si="33"/>
        <v>40.762105263157892</v>
      </c>
      <c r="L131" s="5">
        <f t="shared" si="34"/>
        <v>41.863783783783788</v>
      </c>
    </row>
    <row r="132" spans="1:12" x14ac:dyDescent="0.2">
      <c r="A132" s="1" t="s">
        <v>20</v>
      </c>
      <c r="B132" s="4"/>
      <c r="C132" s="4"/>
      <c r="D132" s="4">
        <v>72.5</v>
      </c>
      <c r="E132" s="4"/>
      <c r="F132" s="4"/>
      <c r="G132" s="4"/>
      <c r="H132" s="4">
        <f t="shared" si="31"/>
        <v>72.5</v>
      </c>
      <c r="I132" s="4">
        <v>270</v>
      </c>
      <c r="J132" s="4">
        <f t="shared" si="32"/>
        <v>342.5</v>
      </c>
      <c r="K132" s="5">
        <f t="shared" si="33"/>
        <v>36.05263157894737</v>
      </c>
      <c r="L132" s="5">
        <f t="shared" si="34"/>
        <v>37.027027027027025</v>
      </c>
    </row>
    <row r="133" spans="1:12" x14ac:dyDescent="0.2">
      <c r="A133" s="1" t="s">
        <v>20</v>
      </c>
      <c r="B133" s="4">
        <v>85</v>
      </c>
      <c r="C133" s="4">
        <v>93.33</v>
      </c>
      <c r="D133" s="4">
        <v>137.5</v>
      </c>
      <c r="E133" s="4">
        <v>79.53</v>
      </c>
      <c r="F133" s="4">
        <v>40</v>
      </c>
      <c r="G133" s="4">
        <v>128</v>
      </c>
      <c r="H133" s="4">
        <f t="shared" si="31"/>
        <v>563.36</v>
      </c>
      <c r="I133" s="4">
        <v>257</v>
      </c>
      <c r="J133" s="4">
        <f t="shared" si="32"/>
        <v>820.36</v>
      </c>
      <c r="K133" s="5">
        <f t="shared" si="33"/>
        <v>86.35368421052631</v>
      </c>
      <c r="L133" s="5">
        <f t="shared" si="34"/>
        <v>88.687567567567569</v>
      </c>
    </row>
    <row r="134" spans="1:12" x14ac:dyDescent="0.2">
      <c r="A134" s="1" t="s">
        <v>20</v>
      </c>
      <c r="B134" s="4">
        <v>95</v>
      </c>
      <c r="C134" s="4">
        <v>93</v>
      </c>
      <c r="D134" s="4">
        <v>150</v>
      </c>
      <c r="E134" s="4">
        <v>100</v>
      </c>
      <c r="F134" s="4">
        <v>86</v>
      </c>
      <c r="G134" s="4">
        <v>81</v>
      </c>
      <c r="H134" s="4">
        <f t="shared" si="31"/>
        <v>605</v>
      </c>
      <c r="I134" s="4">
        <v>261</v>
      </c>
      <c r="J134" s="4">
        <f t="shared" si="32"/>
        <v>866</v>
      </c>
      <c r="K134" s="5">
        <f t="shared" si="33"/>
        <v>91.15789473684211</v>
      </c>
      <c r="L134" s="5">
        <f t="shared" si="34"/>
        <v>93.621621621621614</v>
      </c>
    </row>
    <row r="135" spans="1:12" x14ac:dyDescent="0.2">
      <c r="A135" s="1" t="s">
        <v>20</v>
      </c>
      <c r="B135" s="4">
        <v>60</v>
      </c>
      <c r="C135" s="4">
        <v>40</v>
      </c>
      <c r="D135" s="4"/>
      <c r="E135" s="4">
        <v>30</v>
      </c>
      <c r="F135" s="4"/>
      <c r="G135" s="4"/>
      <c r="H135" s="4">
        <f t="shared" si="31"/>
        <v>130</v>
      </c>
      <c r="I135" s="4"/>
      <c r="J135" s="4">
        <f t="shared" si="32"/>
        <v>130</v>
      </c>
      <c r="K135" s="5">
        <f t="shared" si="33"/>
        <v>13.684210526315791</v>
      </c>
      <c r="L135" s="5">
        <f t="shared" si="34"/>
        <v>14.054054054054054</v>
      </c>
    </row>
    <row r="136" spans="1:12" x14ac:dyDescent="0.2">
      <c r="A136" s="1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</row>
    <row r="137" spans="1:12" x14ac:dyDescent="0.2">
      <c r="A137" s="3" t="s">
        <v>14</v>
      </c>
      <c r="B137" s="4">
        <f>MAX(B5:B136)</f>
        <v>100</v>
      </c>
      <c r="C137" s="4">
        <f>MAX(C5:C136)</f>
        <v>98.33</v>
      </c>
      <c r="D137" s="4">
        <f>MAX(D5:D136)</f>
        <v>150</v>
      </c>
      <c r="E137" s="4">
        <f>MAX(E5:E136)</f>
        <v>100</v>
      </c>
      <c r="F137" s="4">
        <f>MAX(F5:F136)</f>
        <v>120</v>
      </c>
      <c r="G137" s="4">
        <f>MAX(G5:G136)</f>
        <v>145</v>
      </c>
      <c r="H137" s="4">
        <f>MAX(H5:H136)</f>
        <v>680.78</v>
      </c>
      <c r="I137" s="5">
        <f>MAX(I5:I136)</f>
        <v>300</v>
      </c>
      <c r="J137" s="5">
        <f>MAX(J5:J136)</f>
        <v>975.32999999999993</v>
      </c>
      <c r="K137" s="5">
        <f>MAX(K5:K136)</f>
        <v>102.66631578947367</v>
      </c>
      <c r="L137" s="5">
        <f>MAX(L5:L136)</f>
        <v>105.44108108108108</v>
      </c>
    </row>
    <row r="138" spans="1:12" x14ac:dyDescent="0.2">
      <c r="A138" s="3" t="s">
        <v>15</v>
      </c>
      <c r="B138" s="4">
        <f>MIN(B6:B137)</f>
        <v>15</v>
      </c>
      <c r="C138" s="4">
        <f>MIN(C6:C137)</f>
        <v>30</v>
      </c>
      <c r="D138" s="4">
        <f>MIN(D6:D137)</f>
        <v>60</v>
      </c>
      <c r="E138" s="4">
        <f>MIN(E6:E137)</f>
        <v>10</v>
      </c>
      <c r="F138" s="4">
        <f>MIN(F6:F137)</f>
        <v>10</v>
      </c>
      <c r="G138" s="4">
        <f>MIN(G6:G137)</f>
        <v>36</v>
      </c>
      <c r="H138" s="4">
        <f>MIN(H6:H137)</f>
        <v>72.5</v>
      </c>
      <c r="I138" s="5">
        <f>MIN(I6:I137)</f>
        <v>40</v>
      </c>
      <c r="J138" s="5">
        <f>MIN(J6:J137)</f>
        <v>130</v>
      </c>
      <c r="K138" s="5">
        <f>MIN(K6:K137)</f>
        <v>13.684210526315791</v>
      </c>
      <c r="L138" s="5">
        <f>MIN(L6:L137)</f>
        <v>14.054054054054054</v>
      </c>
    </row>
    <row r="139" spans="1:12" x14ac:dyDescent="0.2">
      <c r="A139" s="3" t="s">
        <v>16</v>
      </c>
      <c r="B139" s="5">
        <f>AVERAGE(B7:B138)</f>
        <v>76.860655737704917</v>
      </c>
      <c r="C139" s="5">
        <f>AVERAGE(C7:C138)</f>
        <v>80.557829457364321</v>
      </c>
      <c r="D139" s="5">
        <f>AVERAGE(D7:D138)</f>
        <v>120.70703125</v>
      </c>
      <c r="E139" s="5">
        <f>AVERAGE(E7:E138)</f>
        <v>82.097073170731733</v>
      </c>
      <c r="F139" s="5">
        <f>AVERAGE(F7:F138)</f>
        <v>62.572649572649574</v>
      </c>
      <c r="G139" s="5">
        <f>AVERAGE(G7:G138)</f>
        <v>104.49369747899159</v>
      </c>
      <c r="H139" s="5">
        <f>AVERAGE(H7:H138)</f>
        <v>499.30846153846164</v>
      </c>
      <c r="I139" s="5">
        <f>AVERAGE(I7:I138)</f>
        <v>267.06904761904758</v>
      </c>
      <c r="J139" s="5">
        <f>AVERAGE(J7:J138)</f>
        <v>752.46450381679392</v>
      </c>
      <c r="K139" s="5">
        <f>AVERAGE(K7:K138)</f>
        <v>79.314614457458944</v>
      </c>
      <c r="L139" s="5">
        <f>AVERAGE(L7:L138)</f>
        <v>81.347513926139854</v>
      </c>
    </row>
    <row r="140" spans="1:12" x14ac:dyDescent="0.2">
      <c r="A140" s="3" t="s">
        <v>18</v>
      </c>
      <c r="B140" s="5">
        <f>MEDIAN(B8:B139)</f>
        <v>80</v>
      </c>
      <c r="C140" s="5">
        <f>MEDIAN(C8:C139)</f>
        <v>83.33</v>
      </c>
      <c r="D140" s="5">
        <f>MEDIAN(D8:D139)</f>
        <v>120.353515625</v>
      </c>
      <c r="E140" s="5">
        <f>MEDIAN(E8:E139)</f>
        <v>88.48</v>
      </c>
      <c r="F140" s="5">
        <f>MEDIAN(F8:F139)</f>
        <v>60</v>
      </c>
      <c r="G140" s="5">
        <f>MEDIAN(G8:G139)</f>
        <v>106</v>
      </c>
      <c r="H140" s="5">
        <f>MEDIAN(H8:H139)</f>
        <v>519.57500000000005</v>
      </c>
      <c r="I140" s="5">
        <f>MEDIAN(I8:I139)</f>
        <v>284</v>
      </c>
      <c r="J140" s="5">
        <f>MEDIAN(J8:J139)</f>
        <v>798.36</v>
      </c>
      <c r="K140" s="5">
        <f>MEDIAN(K8:K139)</f>
        <v>84.037894736842105</v>
      </c>
      <c r="L140" s="5">
        <f>MEDIAN(L8:L139)</f>
        <v>86.309189189189198</v>
      </c>
    </row>
    <row r="141" spans="1:12" x14ac:dyDescent="0.2">
      <c r="A141" s="3" t="s">
        <v>17</v>
      </c>
      <c r="B141" s="5">
        <f>STDEV(B8:B139)</f>
        <v>17.457550613104388</v>
      </c>
      <c r="C141" s="5">
        <f>STDEV(C8:C139)</f>
        <v>13.401667958992945</v>
      </c>
      <c r="D141" s="5">
        <f>STDEV(D8:D139)</f>
        <v>25.588195777410068</v>
      </c>
      <c r="E141" s="5">
        <f>STDEV(E8:E139)</f>
        <v>20.078719726795171</v>
      </c>
      <c r="F141" s="5">
        <f>STDEV(F8:F139)</f>
        <v>26.589046826766822</v>
      </c>
      <c r="G141" s="5">
        <f>STDEV(G8:G139)</f>
        <v>23.176325889636448</v>
      </c>
      <c r="H141" s="5">
        <f>STDEV(H8:H139)</f>
        <v>126.3708158022489</v>
      </c>
      <c r="I141" s="5">
        <f>STDEV(I8:I139)</f>
        <v>48.065732902667143</v>
      </c>
      <c r="J141" s="5">
        <f>STDEV(J8:J139)</f>
        <v>184.13054819924247</v>
      </c>
      <c r="K141" s="5">
        <f>STDEV(K8:K139)</f>
        <v>19.148490617400522</v>
      </c>
      <c r="L141" s="5">
        <f>STDEV(L8:L139)</f>
        <v>19.906005210729123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sqref="A1:A65536"/>
    </sheetView>
  </sheetViews>
  <sheetFormatPr baseColWidth="10" defaultColWidth="8.83203125" defaultRowHeight="16" x14ac:dyDescent="0.2"/>
  <sheetData/>
  <pageMargins left="0.75" right="0.75" top="1" bottom="1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topLeftCell="A21" workbookViewId="0">
      <selection activeCell="A21" sqref="A1:A65536"/>
    </sheetView>
  </sheetViews>
  <sheetFormatPr baseColWidth="10" defaultColWidth="8.83203125" defaultRowHeight="16" x14ac:dyDescent="0.2"/>
  <sheetData/>
  <phoneticPr fontId="1" type="noConversion"/>
  <pageMargins left="0.75" right="0.75" top="1" bottom="1" header="0.3" footer="0.3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class-scores</vt:lpstr>
      <vt:lpstr>Sheet2</vt:lpstr>
      <vt:lpstr>Sheet3</vt:lpstr>
    </vt:vector>
  </TitlesOfParts>
  <Company>University of New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Ramiro Jordan</dc:creator>
  <cp:lastModifiedBy>Ramiro Jordan</cp:lastModifiedBy>
  <cp:lastPrinted>2015-12-14T23:24:35Z</cp:lastPrinted>
  <dcterms:created xsi:type="dcterms:W3CDTF">2015-08-17T02:31:23Z</dcterms:created>
  <dcterms:modified xsi:type="dcterms:W3CDTF">2020-01-08T01:08:43Z</dcterms:modified>
</cp:coreProperties>
</file>